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a60efef53134280/Desktop/"/>
    </mc:Choice>
  </mc:AlternateContent>
  <xr:revisionPtr revIDLastSave="0" documentId="8_{EC7F2EFD-D7B7-40AC-B597-69917BBB9BBC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aw_data" sheetId="1" r:id="rId1"/>
    <sheet name="Financial_Analysis" sheetId="2" r:id="rId2"/>
    <sheet name="Analysis" sheetId="3" r:id="rId3"/>
    <sheet name="Dashboard" sheetId="4" r:id="rId4"/>
  </sheets>
  <calcPr calcId="191029"/>
</workbook>
</file>

<file path=xl/calcChain.xml><?xml version="1.0" encoding="utf-8"?>
<calcChain xmlns="http://schemas.openxmlformats.org/spreadsheetml/2006/main">
  <c r="G5" i="4" l="1"/>
  <c r="E5" i="4"/>
  <c r="C5" i="4"/>
  <c r="A5" i="4"/>
  <c r="E3" i="3"/>
  <c r="E4" i="3"/>
  <c r="E5" i="3"/>
  <c r="E6" i="3"/>
  <c r="E7" i="3"/>
  <c r="E8" i="3"/>
  <c r="E9" i="3"/>
  <c r="E10" i="3"/>
  <c r="E11" i="3"/>
  <c r="D3" i="3"/>
  <c r="D4" i="3"/>
  <c r="D5" i="3"/>
  <c r="D6" i="3"/>
  <c r="D7" i="3"/>
  <c r="D8" i="3"/>
  <c r="D9" i="3"/>
  <c r="D10" i="3"/>
  <c r="D11" i="3"/>
  <c r="C3" i="3"/>
  <c r="C4" i="3"/>
  <c r="C5" i="3"/>
  <c r="C6" i="3"/>
  <c r="C7" i="3"/>
  <c r="C8" i="3"/>
  <c r="C9" i="3"/>
  <c r="C10" i="3"/>
  <c r="C11" i="3"/>
  <c r="B3" i="3"/>
  <c r="B4" i="3"/>
  <c r="B5" i="3"/>
  <c r="B6" i="3"/>
  <c r="B7" i="3"/>
  <c r="B8" i="3"/>
  <c r="B9" i="3"/>
  <c r="B10" i="3"/>
  <c r="B11" i="3"/>
  <c r="E2" i="3"/>
  <c r="D2" i="3"/>
  <c r="B2" i="3"/>
  <c r="C2" i="3"/>
</calcChain>
</file>

<file path=xl/sharedStrings.xml><?xml version="1.0" encoding="utf-8"?>
<sst xmlns="http://schemas.openxmlformats.org/spreadsheetml/2006/main" count="375" uniqueCount="232">
  <si>
    <t>company</t>
  </si>
  <si>
    <t>ticker</t>
  </si>
  <si>
    <t>fiscal_year</t>
  </si>
  <si>
    <t>revenue</t>
  </si>
  <si>
    <t>net_income</t>
  </si>
  <si>
    <t>total_assets</t>
  </si>
  <si>
    <t>total_liabilities</t>
  </si>
  <si>
    <t>revenue_growth_pct</t>
  </si>
  <si>
    <t>net_profit_margin_pct</t>
  </si>
  <si>
    <t>roa_pct</t>
  </si>
  <si>
    <t>liability_to_asset_pct</t>
  </si>
  <si>
    <t>Adobe</t>
  </si>
  <si>
    <t>ADBE</t>
  </si>
  <si>
    <t>30.54798859676908</t>
  </si>
  <si>
    <t>17.70125913145626</t>
  </si>
  <si>
    <t>45.68114239565361</t>
  </si>
  <si>
    <t>11.536268609439349</t>
  </si>
  <si>
    <t>27.013518118823125</t>
  </si>
  <si>
    <t>17.507822565801582</t>
  </si>
  <si>
    <t>48.275354316215726</t>
  </si>
  <si>
    <t>10.24082699079858</t>
  </si>
  <si>
    <t>27.96640733680252</t>
  </si>
  <si>
    <t>18.22761006078109</t>
  </si>
  <si>
    <t>44.531381174653276</t>
  </si>
  <si>
    <t>10.799113813179462</t>
  </si>
  <si>
    <t>25.854452452917926</t>
  </si>
  <si>
    <t>18.392325504465763</t>
  </si>
  <si>
    <t>53.34105193516374</t>
  </si>
  <si>
    <t>10.527784236224136</t>
  </si>
  <si>
    <t>29.99705498758888</t>
  </si>
  <si>
    <t>24.172769189042583</t>
  </si>
  <si>
    <t>60.594656902630874</t>
  </si>
  <si>
    <t>Alphabet</t>
  </si>
  <si>
    <t>GOOGL</t>
  </si>
  <si>
    <t>29.511677282377917</t>
  </si>
  <si>
    <t>21.163309841121393</t>
  </si>
  <si>
    <t>29.958972132224414</t>
  </si>
  <si>
    <t>9.78081564371578</t>
  </si>
  <si>
    <t>21.203807153261963</t>
  </si>
  <si>
    <t>16.418809409084936</t>
  </si>
  <si>
    <t>29.874282710587412</t>
  </si>
  <si>
    <t>8.68277022726951</t>
  </si>
  <si>
    <t>24.006649446638516</t>
  </si>
  <si>
    <t>18.33908228791825</t>
  </si>
  <si>
    <t>29.5763832282948</t>
  </si>
  <si>
    <t>13.86624332290154</t>
  </si>
  <si>
    <t>28.603671811164</t>
  </si>
  <si>
    <t>22.235794747876763</t>
  </si>
  <si>
    <t>27.800184783767456</t>
  </si>
  <si>
    <t>15.090081081544394</t>
  </si>
  <si>
    <t>32.80987796522654</t>
  </si>
  <si>
    <t>22.202959610671265</t>
  </si>
  <si>
    <t>30.24050826416432</t>
  </si>
  <si>
    <t>Amazon</t>
  </si>
  <si>
    <t>AMZN</t>
  </si>
  <si>
    <t>7.101412875514555</t>
  </si>
  <si>
    <t>7.933439385184604</t>
  </si>
  <si>
    <t>67.127492872412</t>
  </si>
  <si>
    <t>9.399517263985068</t>
  </si>
  <si>
    <t>68.43507861890096</t>
  </si>
  <si>
    <t>11.82957412988368</t>
  </si>
  <si>
    <t>5.293283575597832</t>
  </si>
  <si>
    <t>5.763904412962675</t>
  </si>
  <si>
    <t>61.75552330758125</t>
  </si>
  <si>
    <t>10.990892246666139</t>
  </si>
  <si>
    <t>9.287117197186653</t>
  </si>
  <si>
    <t>9.481288026449285</t>
  </si>
  <si>
    <t>54.23703860174685</t>
  </si>
  <si>
    <t>12.377754683294695</t>
  </si>
  <si>
    <t>10.83378433418326</t>
  </si>
  <si>
    <t>9.494622525493801</t>
  </si>
  <si>
    <t>49.75013507863899</t>
  </si>
  <si>
    <t>Apple</t>
  </si>
  <si>
    <t>AAPL</t>
  </si>
  <si>
    <t>25.881793355694242</t>
  </si>
  <si>
    <t>26.974205275183614</t>
  </si>
  <si>
    <t>82.0257434430573</t>
  </si>
  <si>
    <t>7.793787604184588</t>
  </si>
  <si>
    <t>25.309640705199733</t>
  </si>
  <si>
    <t>28.292440929256852</t>
  </si>
  <si>
    <t>85.6353559836147</t>
  </si>
  <si>
    <t>25.30623426432028</t>
  </si>
  <si>
    <t>27.50983456377647</t>
  </si>
  <si>
    <t>82.37407929480433</t>
  </si>
  <si>
    <t>2.021994077514111</t>
  </si>
  <si>
    <t>23.971255769943866</t>
  </si>
  <si>
    <t>25.682503150857585</t>
  </si>
  <si>
    <t>84.39640528248123</t>
  </si>
  <si>
    <t>6.425511782832727</t>
  </si>
  <si>
    <t>26.91506412181824</t>
  </si>
  <si>
    <t>31.17962593356549</t>
  </si>
  <si>
    <t>79.47533828265705</t>
  </si>
  <si>
    <t>Cisco</t>
  </si>
  <si>
    <t>CSCO</t>
  </si>
  <si>
    <t>21.259384158336346</t>
  </si>
  <si>
    <t>10.86289834559012</t>
  </si>
  <si>
    <t>57.665364062483974</t>
  </si>
  <si>
    <t>3.490706170460478</t>
  </si>
  <si>
    <t>22.91056500572182</t>
  </si>
  <si>
    <t>12.565690091700176</t>
  </si>
  <si>
    <t>57.689198102168035</t>
  </si>
  <si>
    <t>10.553368116841554</t>
  </si>
  <si>
    <t>22.12884662619741</t>
  </si>
  <si>
    <t>12.38365471468405</t>
  </si>
  <si>
    <t>56.45348152220869</t>
  </si>
  <si>
    <t>19.18108655651172</t>
  </si>
  <si>
    <t>8.294953099756457</t>
  </si>
  <si>
    <t>63.462821409338254</t>
  </si>
  <si>
    <t>5.298961024478199</t>
  </si>
  <si>
    <t>17.968722420305713</t>
  </si>
  <si>
    <t>8.324406538502425</t>
  </si>
  <si>
    <t>61.69546409793034</t>
  </si>
  <si>
    <t>IBM</t>
  </si>
  <si>
    <t>10.013949433304273</t>
  </si>
  <si>
    <t>4.3507246157226085</t>
  </si>
  <si>
    <t>85.60919993030355</t>
  </si>
  <si>
    <t>5.544899738448117</t>
  </si>
  <si>
    <t>2.7077482240211466</t>
  </si>
  <si>
    <t>1.2880865745070458</t>
  </si>
  <si>
    <t>82.69374346722412</t>
  </si>
  <si>
    <t>2.197257558235588</t>
  </si>
  <si>
    <t>12.127384416424183</t>
  </si>
  <si>
    <t>5.547134374930678</t>
  </si>
  <si>
    <t>83.279478856264</t>
  </si>
  <si>
    <t>1.4435822825735523</t>
  </si>
  <si>
    <t>9.59794750848565</t>
  </si>
  <si>
    <t>4.390741753234918</t>
  </si>
  <si>
    <t>80.03134681975578</t>
  </si>
  <si>
    <t>7.6203528118177655</t>
  </si>
  <si>
    <t>15.685200266528469</t>
  </si>
  <si>
    <t>6.974585198841191</t>
  </si>
  <si>
    <t>78.44284961811957</t>
  </si>
  <si>
    <t>Meta</t>
  </si>
  <si>
    <t>META</t>
  </si>
  <si>
    <t>33.38449405998524</t>
  </si>
  <si>
    <t>23.718724960388464</t>
  </si>
  <si>
    <t>24.765794911649706</t>
  </si>
  <si>
    <t>19.895548371051976</t>
  </si>
  <si>
    <t>12.491452508251358</t>
  </si>
  <si>
    <t>32.31301857026712</t>
  </si>
  <si>
    <t>15.687468377226455</t>
  </si>
  <si>
    <t>28.982520644616095</t>
  </si>
  <si>
    <t>17.02703997421861</t>
  </si>
  <si>
    <t>33.29588063913459</t>
  </si>
  <si>
    <t>21.941112807816054</t>
  </si>
  <si>
    <t>37.90858414234564</t>
  </si>
  <si>
    <t>22.589783158367567</t>
  </si>
  <si>
    <t>33.8401182377361</t>
  </si>
  <si>
    <t>22.167038498246217</t>
  </si>
  <si>
    <t>30.08369574952977</t>
  </si>
  <si>
    <t>16.517631502017643</t>
  </si>
  <si>
    <t>40.64739454840022</t>
  </si>
  <si>
    <t>Microsoft</t>
  </si>
  <si>
    <t>MSFT</t>
  </si>
  <si>
    <t>36.45173956498977</t>
  </si>
  <si>
    <t>18.356757015869782</t>
  </si>
  <si>
    <t>57.46047534446445</t>
  </si>
  <si>
    <t>17.956070629670172</t>
  </si>
  <si>
    <t>36.68633681343622</t>
  </si>
  <si>
    <t>19.936958666812853</t>
  </si>
  <si>
    <t>54.35204473193729</t>
  </si>
  <si>
    <t>6.8820295556564215</t>
  </si>
  <si>
    <t>34.14623787839464</t>
  </si>
  <si>
    <t>17.5643726819038</t>
  </si>
  <si>
    <t>49.9429578422044</t>
  </si>
  <si>
    <t>15.669962013071292</t>
  </si>
  <si>
    <t>35.955972944084984</t>
  </si>
  <si>
    <t>17.208583985957596</t>
  </si>
  <si>
    <t>47.57977440775691</t>
  </si>
  <si>
    <t>14.932156232406712</t>
  </si>
  <si>
    <t>36.146015248967075</t>
  </si>
  <si>
    <t>16.45097035070912</t>
  </si>
  <si>
    <t>44.5109312878936</t>
  </si>
  <si>
    <t>NVIDIA</t>
  </si>
  <si>
    <t>NVDA</t>
  </si>
  <si>
    <t>25.979010494752618</t>
  </si>
  <si>
    <t>15.04636865687194</t>
  </si>
  <si>
    <t>41.325414191934975</t>
  </si>
  <si>
    <t>61.403298350824585</t>
  </si>
  <si>
    <t>36.23393029649996</t>
  </si>
  <si>
    <t>22.069839545567703</t>
  </si>
  <si>
    <t>39.774141715889286</t>
  </si>
  <si>
    <t>0.22293230289067711</t>
  </si>
  <si>
    <t>16.193371394676355</t>
  </si>
  <si>
    <t>10.606575688407558</t>
  </si>
  <si>
    <t>46.33334952163566</t>
  </si>
  <si>
    <t>125.85452658115219</t>
  </si>
  <si>
    <t>48.849348347066744</t>
  </si>
  <si>
    <t>45.277507302823764</t>
  </si>
  <si>
    <t>34.6123417721519</t>
  </si>
  <si>
    <t>114.20340763599359</t>
  </si>
  <si>
    <t>55.84802715771243</t>
  </si>
  <si>
    <t>65.30407433625146</t>
  </si>
  <si>
    <t>28.919095707027715</t>
  </si>
  <si>
    <t>Oracle</t>
  </si>
  <si>
    <t>ORCL</t>
  </si>
  <si>
    <t>33.95834877343808</t>
  </si>
  <si>
    <t>10.484566041477573</t>
  </si>
  <si>
    <t>96.00478998070278</t>
  </si>
  <si>
    <t>4.844487265001596</t>
  </si>
  <si>
    <t>15.827049952874647</t>
  </si>
  <si>
    <t>6.14563986202732</t>
  </si>
  <si>
    <t>105.69091557865266</t>
  </si>
  <si>
    <t>17.704995287464655</t>
  </si>
  <si>
    <t>17.021659927132962</t>
  </si>
  <si>
    <t>6.327390165495893</t>
  </si>
  <si>
    <t>99.20154185022028</t>
  </si>
  <si>
    <t>6.019537974936928</t>
  </si>
  <si>
    <t>19.763599629916357</t>
  </si>
  <si>
    <t>7.424668028600613</t>
  </si>
  <si>
    <t>93.82589944387696</t>
  </si>
  <si>
    <t>8.379751137629587</t>
  </si>
  <si>
    <t>21.678078015296432</t>
  </si>
  <si>
    <t>7.390666484518387</t>
  </si>
  <si>
    <t>87.85288754521534</t>
  </si>
  <si>
    <t>revenue_growth_pct (%)</t>
  </si>
  <si>
    <t>net_profit_margin_pct (%)</t>
  </si>
  <si>
    <t>roa_pct (%)</t>
  </si>
  <si>
    <t>liability_to_asset_pct (%)</t>
  </si>
  <si>
    <t>Company</t>
  </si>
  <si>
    <t>Avg Revenue Growth (%)</t>
  </si>
  <si>
    <t>Avg Net Profit Margin (%)</t>
  </si>
  <si>
    <t>Avg ROA (%)</t>
  </si>
  <si>
    <t>Avg Liability-to-Asset (%)</t>
  </si>
  <si>
    <t>Financial Performance Dashboard</t>
  </si>
  <si>
    <t>Leading Technology Companies | FY2021–FY2025</t>
  </si>
  <si>
    <t>Average Revenue Growth (%)</t>
  </si>
  <si>
    <t>Average Net Profit Margin (%)</t>
  </si>
  <si>
    <t>Average ROA (%)</t>
  </si>
  <si>
    <t>Average Liability-to-Asset (%)</t>
  </si>
  <si>
    <r>
      <t>Source:</t>
    </r>
    <r>
      <rPr>
        <sz val="11"/>
        <color theme="1"/>
        <rFont val="Calibri"/>
        <family val="2"/>
        <scheme val="minor"/>
      </rPr>
      <t xml:space="preserve"> SEC Company Facts | FY2021–FY2025 | Ratios calculated using year-end financial data</t>
    </r>
  </si>
  <si>
    <r>
      <t>Note:</t>
    </r>
    <r>
      <rPr>
        <sz val="11"/>
        <color theme="1"/>
        <rFont val="Calibri"/>
        <family val="2"/>
        <scheme val="minor"/>
      </rPr>
      <t xml:space="preserve"> Revenue Growth averages exclude FY2021 because the dataset begins in FY2021.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</si>
</sst>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1" applyNumberFormat="1" applyFont="1" applyAlignment="1">
      <alignment horizontal="center" vertical="center"/>
    </xf>
    <xf numFmtId="4" fontId="0" fillId="0" borderId="0" xfId="1" quotePrefix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2" fontId="1" fillId="0" borderId="0" xfId="0" applyNumberFormat="1" applyFont="1">
      <alignment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7" fillId="0" borderId="0" xfId="0" applyNumberFormat="1" applyFont="1">
      <alignment vertical="center"/>
    </xf>
    <xf numFmtId="0" fontId="7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Revenue Growth (%)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Analysis!$A$2:$A$11</c:f>
              <c:strCache>
                <c:ptCount val="10"/>
                <c:pt idx="0">
                  <c:v>Adobe</c:v>
                </c:pt>
                <c:pt idx="1">
                  <c:v>Alphabet</c:v>
                </c:pt>
                <c:pt idx="2">
                  <c:v>Amazon</c:v>
                </c:pt>
                <c:pt idx="3">
                  <c:v>Apple</c:v>
                </c:pt>
                <c:pt idx="4">
                  <c:v>Cisco</c:v>
                </c:pt>
                <c:pt idx="5">
                  <c:v>IBM</c:v>
                </c:pt>
                <c:pt idx="6">
                  <c:v>Meta</c:v>
                </c:pt>
                <c:pt idx="7">
                  <c:v>Microsoft</c:v>
                </c:pt>
                <c:pt idx="8">
                  <c:v>NVIDIA</c:v>
                </c:pt>
                <c:pt idx="9">
                  <c:v>Oracle</c:v>
                </c:pt>
              </c:strCache>
            </c:strRef>
          </c:cat>
          <c:val>
            <c:numRef>
              <c:f>Analysis!$B$2:$B$11</c:f>
              <c:numCache>
                <c:formatCode>0.00</c:formatCode>
                <c:ptCount val="10"/>
                <c:pt idx="0">
                  <c:v>10.775998412410326</c:v>
                </c:pt>
                <c:pt idx="1">
                  <c:v>11.854977568857773</c:v>
                </c:pt>
                <c:pt idx="2">
                  <c:v>11.14943458095734</c:v>
                </c:pt>
                <c:pt idx="3">
                  <c:v>3.3602082335528722</c:v>
                </c:pt>
                <c:pt idx="4">
                  <c:v>3.4343938677709978</c:v>
                </c:pt>
                <c:pt idx="5">
                  <c:v>4.2015230977687494</c:v>
                </c:pt>
                <c:pt idx="6">
                  <c:v>14.669075531952576</c:v>
                </c:pt>
                <c:pt idx="7">
                  <c:v>13.860054607701105</c:v>
                </c:pt>
                <c:pt idx="8">
                  <c:v>75.421041217715043</c:v>
                </c:pt>
                <c:pt idx="9">
                  <c:v>9.2371929162581736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5-4BBC-A36C-10FFA09B5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6579984"/>
        <c:axId val="1605929152"/>
      </c:barChart>
      <c:catAx>
        <c:axId val="160657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929152"/>
        <c:crosses val="autoZero"/>
        <c:auto val="1"/>
        <c:lblAlgn val="ctr"/>
        <c:lblOffset val="100"/>
        <c:noMultiLvlLbl val="0"/>
      </c:catAx>
      <c:valAx>
        <c:axId val="160592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57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Net Profit Margin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Analysis!$C$1</c:f>
              <c:strCache>
                <c:ptCount val="1"/>
                <c:pt idx="0">
                  <c:v>Avg Net Profit Margin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Analysis!$A$2:$A$11</c:f>
              <c:strCache>
                <c:ptCount val="10"/>
                <c:pt idx="0">
                  <c:v>Adobe</c:v>
                </c:pt>
                <c:pt idx="1">
                  <c:v>Alphabet</c:v>
                </c:pt>
                <c:pt idx="2">
                  <c:v>Amazon</c:v>
                </c:pt>
                <c:pt idx="3">
                  <c:v>Apple</c:v>
                </c:pt>
                <c:pt idx="4">
                  <c:v>Cisco</c:v>
                </c:pt>
                <c:pt idx="5">
                  <c:v>IBM</c:v>
                </c:pt>
                <c:pt idx="6">
                  <c:v>Meta</c:v>
                </c:pt>
                <c:pt idx="7">
                  <c:v>Microsoft</c:v>
                </c:pt>
                <c:pt idx="8">
                  <c:v>NVIDIA</c:v>
                </c:pt>
                <c:pt idx="9">
                  <c:v>Oracle</c:v>
                </c:pt>
              </c:strCache>
            </c:strRef>
          </c:cat>
          <c:val>
            <c:numRef>
              <c:f>Analysis!$C$2:$C$11</c:f>
              <c:numCache>
                <c:formatCode>0.00</c:formatCode>
                <c:ptCount val="10"/>
                <c:pt idx="0">
                  <c:v>28.275884298580262</c:v>
                </c:pt>
                <c:pt idx="1">
                  <c:v>27.227136731733758</c:v>
                </c:pt>
                <c:pt idx="2">
                  <c:v>6.3972016964880796</c:v>
                </c:pt>
                <c:pt idx="3">
                  <c:v>25.476797643395219</c:v>
                </c:pt>
                <c:pt idx="4">
                  <c:v>20.689720953414579</c:v>
                </c:pt>
                <c:pt idx="5">
                  <c:v>10.026445969752697</c:v>
                </c:pt>
                <c:pt idx="6">
                  <c:v>30.050968593505683</c:v>
                </c:pt>
                <c:pt idx="7">
                  <c:v>35.877260489974475</c:v>
                </c:pt>
                <c:pt idx="8">
                  <c:v>36.620737538141583</c:v>
                </c:pt>
                <c:pt idx="9">
                  <c:v>21.64974725973164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9-4DB5-8B36-B7CEE53A4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7981200"/>
        <c:axId val="1787979280"/>
      </c:barChart>
      <c:catAx>
        <c:axId val="178798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979280"/>
        <c:crosses val="autoZero"/>
        <c:auto val="1"/>
        <c:lblAlgn val="ctr"/>
        <c:lblOffset val="100"/>
        <c:noMultiLvlLbl val="0"/>
      </c:catAx>
      <c:valAx>
        <c:axId val="178797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98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ROA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Analysis!$D$1</c:f>
              <c:strCache>
                <c:ptCount val="1"/>
                <c:pt idx="0">
                  <c:v>Avg ROA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Analysis!$A$2:$A$11</c:f>
              <c:strCache>
                <c:ptCount val="10"/>
                <c:pt idx="0">
                  <c:v>Adobe</c:v>
                </c:pt>
                <c:pt idx="1">
                  <c:v>Alphabet</c:v>
                </c:pt>
                <c:pt idx="2">
                  <c:v>Amazon</c:v>
                </c:pt>
                <c:pt idx="3">
                  <c:v>Apple</c:v>
                </c:pt>
                <c:pt idx="4">
                  <c:v>Cisco</c:v>
                </c:pt>
                <c:pt idx="5">
                  <c:v>IBM</c:v>
                </c:pt>
                <c:pt idx="6">
                  <c:v>Meta</c:v>
                </c:pt>
                <c:pt idx="7">
                  <c:v>Microsoft</c:v>
                </c:pt>
                <c:pt idx="8">
                  <c:v>NVIDIA</c:v>
                </c:pt>
                <c:pt idx="9">
                  <c:v>Oracle</c:v>
                </c:pt>
              </c:strCache>
            </c:strRef>
          </c:cat>
          <c:val>
            <c:numRef>
              <c:f>Analysis!$D$2:$D$11</c:f>
              <c:numCache>
                <c:formatCode>0.00</c:formatCode>
                <c:ptCount val="10"/>
                <c:pt idx="0">
                  <c:v>19.20035729030938</c:v>
                </c:pt>
                <c:pt idx="1">
                  <c:v>20.071991179334461</c:v>
                </c:pt>
                <c:pt idx="2">
                  <c:v>6.41698728326711</c:v>
                </c:pt>
                <c:pt idx="3">
                  <c:v>27.927721970527937</c:v>
                </c:pt>
                <c:pt idx="4">
                  <c:v>10.486320558046614</c:v>
                </c:pt>
                <c:pt idx="5">
                  <c:v>4.5102545034472818</c:v>
                </c:pt>
                <c:pt idx="6">
                  <c:v>18.468926420648678</c:v>
                </c:pt>
                <c:pt idx="7">
                  <c:v>17.903528540250583</c:v>
                </c:pt>
                <c:pt idx="8">
                  <c:v>31.660873105984439</c:v>
                </c:pt>
                <c:pt idx="9">
                  <c:v>7.5545861164239394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1-4262-A3AF-72A5D6274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7403104"/>
        <c:axId val="1785675200"/>
      </c:barChart>
      <c:catAx>
        <c:axId val="178740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675200"/>
        <c:crosses val="autoZero"/>
        <c:auto val="1"/>
        <c:lblAlgn val="ctr"/>
        <c:lblOffset val="100"/>
        <c:noMultiLvlLbl val="0"/>
      </c:catAx>
      <c:valAx>
        <c:axId val="178567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40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Liability-to-Asset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Avg Liability-to-Asset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Analysis!$A$2:$A$11</c:f>
              <c:strCache>
                <c:ptCount val="10"/>
                <c:pt idx="0">
                  <c:v>Adobe</c:v>
                </c:pt>
                <c:pt idx="1">
                  <c:v>Alphabet</c:v>
                </c:pt>
                <c:pt idx="2">
                  <c:v>Amazon</c:v>
                </c:pt>
                <c:pt idx="3">
                  <c:v>Apple</c:v>
                </c:pt>
                <c:pt idx="4">
                  <c:v>Cisco</c:v>
                </c:pt>
                <c:pt idx="5">
                  <c:v>IBM</c:v>
                </c:pt>
                <c:pt idx="6">
                  <c:v>Meta</c:v>
                </c:pt>
                <c:pt idx="7">
                  <c:v>Microsoft</c:v>
                </c:pt>
                <c:pt idx="8">
                  <c:v>NVIDIA</c:v>
                </c:pt>
                <c:pt idx="9">
                  <c:v>Oracle</c:v>
                </c:pt>
              </c:strCache>
            </c:strRef>
          </c:cat>
          <c:val>
            <c:numRef>
              <c:f>Analysis!$E$2:$E$11</c:f>
              <c:numCache>
                <c:formatCode>0.00</c:formatCode>
                <c:ptCount val="10"/>
                <c:pt idx="0">
                  <c:v>50.484717344863405</c:v>
                </c:pt>
                <c:pt idx="1">
                  <c:v>29.490066223807663</c:v>
                </c:pt>
                <c:pt idx="2">
                  <c:v>60.261053695855956</c:v>
                </c:pt>
                <c:pt idx="3">
                  <c:v>82.781384457322901</c:v>
                </c:pt>
                <c:pt idx="4">
                  <c:v>59.393265838825798</c:v>
                </c:pt>
                <c:pt idx="5">
                  <c:v>82.01132373833336</c:v>
                </c:pt>
                <c:pt idx="6">
                  <c:v>32.97244138143752</c:v>
                </c:pt>
                <c:pt idx="7">
                  <c:v>50.769236722851304</c:v>
                </c:pt>
                <c:pt idx="8">
                  <c:v>38.192868581727865</c:v>
                </c:pt>
                <c:pt idx="9">
                  <c:v>96.515206879733427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8-4280-ADC4-A4908598B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5103216"/>
        <c:axId val="1615102736"/>
      </c:barChart>
      <c:catAx>
        <c:axId val="161510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102736"/>
        <c:crosses val="autoZero"/>
        <c:auto val="1"/>
        <c:lblAlgn val="ctr"/>
        <c:lblOffset val="100"/>
        <c:noMultiLvlLbl val="0"/>
      </c:catAx>
      <c:valAx>
        <c:axId val="161510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10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6</xdr:row>
      <xdr:rowOff>177800</xdr:rowOff>
    </xdr:from>
    <xdr:to>
      <xdr:col>3</xdr:col>
      <xdr:colOff>1016000</xdr:colOff>
      <xdr:row>21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3D4553-0689-4862-B931-150B9E2BC3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7</xdr:row>
      <xdr:rowOff>0</xdr:rowOff>
    </xdr:from>
    <xdr:to>
      <xdr:col>8</xdr:col>
      <xdr:colOff>228600</xdr:colOff>
      <xdr:row>21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C1B50F-6D49-4490-B439-3AC6D06D9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158750</xdr:colOff>
      <xdr:row>23</xdr:row>
      <xdr:rowOff>6350</xdr:rowOff>
    </xdr:from>
    <xdr:to>
      <xdr:col>3</xdr:col>
      <xdr:colOff>996950</xdr:colOff>
      <xdr:row>37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5AFB35-CC91-4B62-AF7D-71A8E2048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8</xdr:col>
      <xdr:colOff>228600</xdr:colOff>
      <xdr:row>37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BAD576-0E3A-444A-BDA2-E9472397F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1350C3-D1C1-4FE4-AA46-0EA26B731809}" name="Table1" displayName="Table1" ref="A1:E11" totalsRowShown="0" headerRowDxfId="0" dataDxfId="1">
  <autoFilter ref="A1:E11" xr:uid="{0A1350C3-D1C1-4FE4-AA46-0EA26B731809}"/>
  <tableColumns count="5">
    <tableColumn id="1" xr3:uid="{774108BA-C27F-4015-BAB5-271116C6636B}" name="Company" dataDxfId="6"/>
    <tableColumn id="2" xr3:uid="{3C2D8A6F-9330-40E7-8EDA-BD006CE96B51}" name="Avg Revenue Growth (%)" dataDxfId="5">
      <calculatedColumnFormula>AVERAGEIF(Financial_Analysis!$A$2:$A$51,A2,Financial_Analysis!$C$2:$C$51)</calculatedColumnFormula>
    </tableColumn>
    <tableColumn id="3" xr3:uid="{FC549029-7936-44BE-B0F0-B8B8C0DF62B4}" name="Avg Net Profit Margin (%)" dataDxfId="4">
      <calculatedColumnFormula>AVERAGEIF(Financial_Analysis!$A$2:$A$51,A2,Financial_Analysis!$D$2:$D$51)</calculatedColumnFormula>
    </tableColumn>
    <tableColumn id="4" xr3:uid="{C6C1FF5E-84E1-4F49-A136-99DBEF568274}" name="Avg ROA (%)" dataDxfId="3">
      <calculatedColumnFormula>AVERAGEIF(Financial_Analysis!$A$2:$A$51,A2,Financial_Analysis!$E$2:$E$51)</calculatedColumnFormula>
    </tableColumn>
    <tableColumn id="5" xr3:uid="{853B6797-BA9D-4BF9-98D0-9A0585156FF4}" name="Avg Liability-to-Asset (%)" dataDxfId="2">
      <calculatedColumnFormula>AVERAGEIF(Financial_Analysis!$A$2:$A$51,A2,Financial_Analysis!$F$2:$F$51)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workbookViewId="0">
      <selection activeCell="D20" sqref="D20"/>
    </sheetView>
  </sheetViews>
  <sheetFormatPr defaultColWidth="9.81640625" defaultRowHeight="14.5"/>
  <cols>
    <col min="5" max="5" width="15.90625" customWidth="1"/>
    <col min="6" max="6" width="14.54296875" customWidth="1"/>
    <col min="7" max="7" width="15.81640625" customWidth="1"/>
    <col min="8" max="12" width="20.36328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2021</v>
      </c>
      <c r="D2">
        <v>15.785</v>
      </c>
      <c r="E2">
        <v>4.8220000000000001</v>
      </c>
      <c r="F2">
        <v>27.241</v>
      </c>
      <c r="G2">
        <v>12.444000000000001</v>
      </c>
      <c r="I2" s="1" t="s">
        <v>13</v>
      </c>
      <c r="J2" s="1" t="s">
        <v>14</v>
      </c>
      <c r="K2" s="1" t="s">
        <v>15</v>
      </c>
    </row>
    <row r="3" spans="1:11">
      <c r="A3" t="s">
        <v>11</v>
      </c>
      <c r="B3" t="s">
        <v>12</v>
      </c>
      <c r="C3">
        <v>2022</v>
      </c>
      <c r="D3">
        <v>17.606000000000002</v>
      </c>
      <c r="E3">
        <v>4.7560000000000002</v>
      </c>
      <c r="F3">
        <v>27.164999999999999</v>
      </c>
      <c r="G3">
        <v>13.114000000000001</v>
      </c>
      <c r="H3" s="1" t="s">
        <v>16</v>
      </c>
      <c r="I3" s="1" t="s">
        <v>17</v>
      </c>
      <c r="J3" s="1" t="s">
        <v>18</v>
      </c>
      <c r="K3" s="1" t="s">
        <v>19</v>
      </c>
    </row>
    <row r="4" spans="1:11">
      <c r="A4" t="s">
        <v>11</v>
      </c>
      <c r="B4" t="s">
        <v>12</v>
      </c>
      <c r="C4">
        <v>2023</v>
      </c>
      <c r="D4">
        <v>19.408999999999999</v>
      </c>
      <c r="E4">
        <v>5.4279999999999999</v>
      </c>
      <c r="F4">
        <v>29.779</v>
      </c>
      <c r="G4">
        <v>13.260999999999999</v>
      </c>
      <c r="H4" s="1" t="s">
        <v>20</v>
      </c>
      <c r="I4" s="1" t="s">
        <v>21</v>
      </c>
      <c r="J4" s="1" t="s">
        <v>22</v>
      </c>
      <c r="K4" s="1" t="s">
        <v>23</v>
      </c>
    </row>
    <row r="5" spans="1:11">
      <c r="A5" t="s">
        <v>11</v>
      </c>
      <c r="B5" t="s">
        <v>12</v>
      </c>
      <c r="C5">
        <v>2024</v>
      </c>
      <c r="D5">
        <v>21.504999999999999</v>
      </c>
      <c r="E5">
        <v>5.56</v>
      </c>
      <c r="F5">
        <v>30.23</v>
      </c>
      <c r="G5">
        <v>16.125</v>
      </c>
      <c r="H5" s="1" t="s">
        <v>24</v>
      </c>
      <c r="I5" s="1" t="s">
        <v>25</v>
      </c>
      <c r="J5" s="1" t="s">
        <v>26</v>
      </c>
      <c r="K5" s="1" t="s">
        <v>27</v>
      </c>
    </row>
    <row r="6" spans="1:11">
      <c r="A6" t="s">
        <v>11</v>
      </c>
      <c r="B6" t="s">
        <v>12</v>
      </c>
      <c r="C6">
        <v>2025</v>
      </c>
      <c r="D6">
        <v>23.768999999999998</v>
      </c>
      <c r="E6">
        <v>7.13</v>
      </c>
      <c r="F6">
        <v>29.495999999999999</v>
      </c>
      <c r="G6">
        <v>17.873000000000001</v>
      </c>
      <c r="H6" s="1" t="s">
        <v>28</v>
      </c>
      <c r="I6" s="1" t="s">
        <v>29</v>
      </c>
      <c r="J6" s="1" t="s">
        <v>30</v>
      </c>
      <c r="K6" s="1" t="s">
        <v>31</v>
      </c>
    </row>
    <row r="7" spans="1:11">
      <c r="A7" t="s">
        <v>32</v>
      </c>
      <c r="B7" t="s">
        <v>33</v>
      </c>
      <c r="C7">
        <v>2021</v>
      </c>
      <c r="D7">
        <v>257.637</v>
      </c>
      <c r="E7">
        <v>76.033000000000001</v>
      </c>
      <c r="F7">
        <v>359.26799999999997</v>
      </c>
      <c r="G7">
        <v>107.633</v>
      </c>
      <c r="I7" s="1" t="s">
        <v>34</v>
      </c>
      <c r="J7" s="1" t="s">
        <v>35</v>
      </c>
      <c r="K7" s="1" t="s">
        <v>36</v>
      </c>
    </row>
    <row r="8" spans="1:11">
      <c r="A8" t="s">
        <v>32</v>
      </c>
      <c r="B8" t="s">
        <v>33</v>
      </c>
      <c r="C8">
        <v>2022</v>
      </c>
      <c r="D8">
        <v>282.83600000000001</v>
      </c>
      <c r="E8">
        <v>59.972000000000001</v>
      </c>
      <c r="F8">
        <v>365.26400000000001</v>
      </c>
      <c r="G8">
        <v>109.12</v>
      </c>
      <c r="H8" s="1" t="s">
        <v>37</v>
      </c>
      <c r="I8" s="1" t="s">
        <v>38</v>
      </c>
      <c r="J8" s="1" t="s">
        <v>39</v>
      </c>
      <c r="K8" s="1" t="s">
        <v>40</v>
      </c>
    </row>
    <row r="9" spans="1:11">
      <c r="A9" t="s">
        <v>32</v>
      </c>
      <c r="B9" t="s">
        <v>33</v>
      </c>
      <c r="C9">
        <v>2023</v>
      </c>
      <c r="D9">
        <v>307.39400000000001</v>
      </c>
      <c r="E9">
        <v>73.795000000000002</v>
      </c>
      <c r="F9">
        <v>402.392</v>
      </c>
      <c r="G9">
        <v>119.01300000000001</v>
      </c>
      <c r="H9" s="1" t="s">
        <v>41</v>
      </c>
      <c r="I9" s="1" t="s">
        <v>42</v>
      </c>
      <c r="J9" s="1" t="s">
        <v>43</v>
      </c>
      <c r="K9" s="1" t="s">
        <v>44</v>
      </c>
    </row>
    <row r="10" spans="1:11">
      <c r="A10" t="s">
        <v>32</v>
      </c>
      <c r="B10" t="s">
        <v>33</v>
      </c>
      <c r="C10">
        <v>2024</v>
      </c>
      <c r="D10">
        <v>350.01799999999997</v>
      </c>
      <c r="E10">
        <v>100.11799999999999</v>
      </c>
      <c r="F10">
        <v>450.25599999999997</v>
      </c>
      <c r="G10">
        <v>125.172</v>
      </c>
      <c r="H10" s="1" t="s">
        <v>45</v>
      </c>
      <c r="I10" s="1" t="s">
        <v>46</v>
      </c>
      <c r="J10" s="1" t="s">
        <v>47</v>
      </c>
      <c r="K10" s="1" t="s">
        <v>48</v>
      </c>
    </row>
    <row r="11" spans="1:11">
      <c r="A11" t="s">
        <v>32</v>
      </c>
      <c r="B11" t="s">
        <v>33</v>
      </c>
      <c r="C11">
        <v>2025</v>
      </c>
      <c r="D11">
        <v>402.83600000000001</v>
      </c>
      <c r="E11">
        <v>132.16999999999999</v>
      </c>
      <c r="F11">
        <v>595.28099999999995</v>
      </c>
      <c r="G11">
        <v>180.01599999999999</v>
      </c>
      <c r="H11" s="1" t="s">
        <v>49</v>
      </c>
      <c r="I11" s="1" t="s">
        <v>50</v>
      </c>
      <c r="J11" s="1" t="s">
        <v>51</v>
      </c>
      <c r="K11" s="1" t="s">
        <v>52</v>
      </c>
    </row>
    <row r="12" spans="1:11">
      <c r="A12" t="s">
        <v>53</v>
      </c>
      <c r="B12" t="s">
        <v>54</v>
      </c>
      <c r="C12">
        <v>2021</v>
      </c>
      <c r="D12">
        <v>469.822</v>
      </c>
      <c r="E12">
        <v>33.363999999999997</v>
      </c>
      <c r="F12">
        <v>420.54899999999998</v>
      </c>
      <c r="G12">
        <v>282.30399999999997</v>
      </c>
      <c r="I12" s="1" t="s">
        <v>55</v>
      </c>
      <c r="J12" s="1" t="s">
        <v>56</v>
      </c>
      <c r="K12" s="1" t="s">
        <v>57</v>
      </c>
    </row>
    <row r="13" spans="1:11">
      <c r="A13" t="s">
        <v>53</v>
      </c>
      <c r="B13" t="s">
        <v>54</v>
      </c>
      <c r="C13">
        <v>2022</v>
      </c>
      <c r="D13">
        <v>513.98299999999995</v>
      </c>
      <c r="E13">
        <v>-2.722</v>
      </c>
      <c r="F13">
        <v>462.67500000000001</v>
      </c>
      <c r="G13">
        <v>316.63200000000001</v>
      </c>
      <c r="H13" s="1" t="s">
        <v>58</v>
      </c>
      <c r="I13">
        <v>-0.52958950004183003</v>
      </c>
      <c r="J13">
        <v>-0.58831793375479502</v>
      </c>
      <c r="K13" s="1" t="s">
        <v>59</v>
      </c>
    </row>
    <row r="14" spans="1:11">
      <c r="A14" t="s">
        <v>53</v>
      </c>
      <c r="B14" t="s">
        <v>54</v>
      </c>
      <c r="C14">
        <v>2023</v>
      </c>
      <c r="D14">
        <v>574.78499999999997</v>
      </c>
      <c r="E14">
        <v>30.425000000000001</v>
      </c>
      <c r="F14">
        <v>527.85400000000004</v>
      </c>
      <c r="G14">
        <v>325.97899999999998</v>
      </c>
      <c r="H14" s="1" t="s">
        <v>60</v>
      </c>
      <c r="I14" s="1" t="s">
        <v>61</v>
      </c>
      <c r="J14" s="1" t="s">
        <v>62</v>
      </c>
      <c r="K14" s="1" t="s">
        <v>63</v>
      </c>
    </row>
    <row r="15" spans="1:11">
      <c r="A15" t="s">
        <v>53</v>
      </c>
      <c r="B15" t="s">
        <v>54</v>
      </c>
      <c r="C15">
        <v>2024</v>
      </c>
      <c r="D15">
        <v>637.95899999999995</v>
      </c>
      <c r="E15">
        <v>59.247999999999998</v>
      </c>
      <c r="F15">
        <v>624.89400000000001</v>
      </c>
      <c r="G15">
        <v>338.92399999999998</v>
      </c>
      <c r="H15" s="1" t="s">
        <v>64</v>
      </c>
      <c r="I15" s="1" t="s">
        <v>65</v>
      </c>
      <c r="J15" s="1" t="s">
        <v>66</v>
      </c>
      <c r="K15" s="1" t="s">
        <v>67</v>
      </c>
    </row>
    <row r="16" spans="1:11">
      <c r="A16" t="s">
        <v>53</v>
      </c>
      <c r="B16" t="s">
        <v>54</v>
      </c>
      <c r="C16">
        <v>2025</v>
      </c>
      <c r="D16">
        <v>716.92399999999998</v>
      </c>
      <c r="E16">
        <v>77.67</v>
      </c>
      <c r="F16">
        <v>818.04200000000003</v>
      </c>
      <c r="G16">
        <v>406.97699999999998</v>
      </c>
      <c r="H16" s="1" t="s">
        <v>68</v>
      </c>
      <c r="I16" s="1" t="s">
        <v>69</v>
      </c>
      <c r="J16" s="1" t="s">
        <v>70</v>
      </c>
      <c r="K16" s="1" t="s">
        <v>71</v>
      </c>
    </row>
    <row r="17" spans="1:11">
      <c r="A17" t="s">
        <v>72</v>
      </c>
      <c r="B17" t="s">
        <v>73</v>
      </c>
      <c r="C17">
        <v>2021</v>
      </c>
      <c r="D17">
        <v>365.81700000000001</v>
      </c>
      <c r="E17">
        <v>94.68</v>
      </c>
      <c r="F17">
        <v>351.00200000000001</v>
      </c>
      <c r="G17">
        <v>287.91199999999998</v>
      </c>
      <c r="I17" s="1" t="s">
        <v>74</v>
      </c>
      <c r="J17" s="1" t="s">
        <v>75</v>
      </c>
      <c r="K17" s="1" t="s">
        <v>76</v>
      </c>
    </row>
    <row r="18" spans="1:11">
      <c r="A18" t="s">
        <v>72</v>
      </c>
      <c r="B18" t="s">
        <v>73</v>
      </c>
      <c r="C18">
        <v>2022</v>
      </c>
      <c r="D18">
        <v>394.32799999999997</v>
      </c>
      <c r="E18">
        <v>99.802999999999997</v>
      </c>
      <c r="F18">
        <v>352.755</v>
      </c>
      <c r="G18">
        <v>302.08300000000003</v>
      </c>
      <c r="H18" s="1" t="s">
        <v>77</v>
      </c>
      <c r="I18" s="1" t="s">
        <v>78</v>
      </c>
      <c r="J18" s="1" t="s">
        <v>79</v>
      </c>
      <c r="K18" s="1" t="s">
        <v>80</v>
      </c>
    </row>
    <row r="19" spans="1:11">
      <c r="A19" t="s">
        <v>72</v>
      </c>
      <c r="B19" t="s">
        <v>73</v>
      </c>
      <c r="C19">
        <v>2023</v>
      </c>
      <c r="D19">
        <v>383.28500000000003</v>
      </c>
      <c r="E19">
        <v>96.995000000000005</v>
      </c>
      <c r="F19">
        <v>352.58300000000003</v>
      </c>
      <c r="G19">
        <v>290.43700000000001</v>
      </c>
      <c r="H19">
        <v>-2.8004605303199201</v>
      </c>
      <c r="I19" s="1" t="s">
        <v>81</v>
      </c>
      <c r="J19" s="1" t="s">
        <v>82</v>
      </c>
      <c r="K19" s="1" t="s">
        <v>83</v>
      </c>
    </row>
    <row r="20" spans="1:11">
      <c r="A20" t="s">
        <v>72</v>
      </c>
      <c r="B20" t="s">
        <v>73</v>
      </c>
      <c r="C20">
        <v>2024</v>
      </c>
      <c r="D20">
        <v>391.03500000000003</v>
      </c>
      <c r="E20">
        <v>93.736000000000004</v>
      </c>
      <c r="F20">
        <v>364.98</v>
      </c>
      <c r="G20">
        <v>308.02999999999997</v>
      </c>
      <c r="H20" s="1" t="s">
        <v>84</v>
      </c>
      <c r="I20" s="1" t="s">
        <v>85</v>
      </c>
      <c r="J20" s="1" t="s">
        <v>86</v>
      </c>
      <c r="K20" s="1" t="s">
        <v>87</v>
      </c>
    </row>
    <row r="21" spans="1:11">
      <c r="A21" t="s">
        <v>72</v>
      </c>
      <c r="B21" t="s">
        <v>73</v>
      </c>
      <c r="C21">
        <v>2025</v>
      </c>
      <c r="D21">
        <v>416.161</v>
      </c>
      <c r="E21">
        <v>112.01</v>
      </c>
      <c r="F21">
        <v>359.24099999999999</v>
      </c>
      <c r="G21">
        <v>285.50799999999998</v>
      </c>
      <c r="H21" s="1" t="s">
        <v>88</v>
      </c>
      <c r="I21" s="1" t="s">
        <v>89</v>
      </c>
      <c r="J21" s="1" t="s">
        <v>90</v>
      </c>
      <c r="K21" s="1" t="s">
        <v>91</v>
      </c>
    </row>
    <row r="22" spans="1:11">
      <c r="A22" t="s">
        <v>92</v>
      </c>
      <c r="B22" t="s">
        <v>93</v>
      </c>
      <c r="C22">
        <v>2021</v>
      </c>
      <c r="D22">
        <v>49.817999999999998</v>
      </c>
      <c r="E22">
        <v>10.590999999999999</v>
      </c>
      <c r="F22">
        <v>97.497</v>
      </c>
      <c r="G22">
        <v>56.222000000000001</v>
      </c>
      <c r="I22" s="1" t="s">
        <v>94</v>
      </c>
      <c r="J22" s="1" t="s">
        <v>95</v>
      </c>
      <c r="K22" s="1" t="s">
        <v>96</v>
      </c>
    </row>
    <row r="23" spans="1:11">
      <c r="A23" t="s">
        <v>92</v>
      </c>
      <c r="B23" t="s">
        <v>93</v>
      </c>
      <c r="C23">
        <v>2022</v>
      </c>
      <c r="D23">
        <v>51.557000000000002</v>
      </c>
      <c r="E23">
        <v>11.811999999999999</v>
      </c>
      <c r="F23">
        <v>94.001999999999995</v>
      </c>
      <c r="G23">
        <v>54.228999999999999</v>
      </c>
      <c r="H23" s="1" t="s">
        <v>97</v>
      </c>
      <c r="I23" s="1" t="s">
        <v>98</v>
      </c>
      <c r="J23" s="1" t="s">
        <v>99</v>
      </c>
      <c r="K23" s="1" t="s">
        <v>100</v>
      </c>
    </row>
    <row r="24" spans="1:11">
      <c r="A24" t="s">
        <v>92</v>
      </c>
      <c r="B24" t="s">
        <v>93</v>
      </c>
      <c r="C24">
        <v>2023</v>
      </c>
      <c r="D24">
        <v>56.997999999999998</v>
      </c>
      <c r="E24">
        <v>12.613</v>
      </c>
      <c r="F24">
        <v>101.852</v>
      </c>
      <c r="G24">
        <v>57.499000000000002</v>
      </c>
      <c r="H24" s="1" t="s">
        <v>101</v>
      </c>
      <c r="I24" s="1" t="s">
        <v>102</v>
      </c>
      <c r="J24" s="1" t="s">
        <v>103</v>
      </c>
      <c r="K24" s="1" t="s">
        <v>104</v>
      </c>
    </row>
    <row r="25" spans="1:11">
      <c r="A25" t="s">
        <v>92</v>
      </c>
      <c r="B25" t="s">
        <v>93</v>
      </c>
      <c r="C25">
        <v>2024</v>
      </c>
      <c r="D25">
        <v>53.802999999999997</v>
      </c>
      <c r="E25">
        <v>10.32</v>
      </c>
      <c r="F25">
        <v>124.413</v>
      </c>
      <c r="G25">
        <v>78.956000000000003</v>
      </c>
      <c r="H25">
        <v>-5.6054598406961702</v>
      </c>
      <c r="I25" s="1" t="s">
        <v>105</v>
      </c>
      <c r="J25" s="1" t="s">
        <v>106</v>
      </c>
      <c r="K25" s="1" t="s">
        <v>107</v>
      </c>
    </row>
    <row r="26" spans="1:11">
      <c r="A26" t="s">
        <v>92</v>
      </c>
      <c r="B26" t="s">
        <v>93</v>
      </c>
      <c r="C26">
        <v>2025</v>
      </c>
      <c r="D26">
        <v>56.654000000000003</v>
      </c>
      <c r="E26">
        <v>10.18</v>
      </c>
      <c r="F26">
        <v>122.291</v>
      </c>
      <c r="G26">
        <v>75.447999999999993</v>
      </c>
      <c r="H26" s="1" t="s">
        <v>108</v>
      </c>
      <c r="I26" s="1" t="s">
        <v>109</v>
      </c>
      <c r="J26" s="1" t="s">
        <v>110</v>
      </c>
      <c r="K26" s="1" t="s">
        <v>111</v>
      </c>
    </row>
    <row r="27" spans="1:11">
      <c r="A27" t="s">
        <v>112</v>
      </c>
      <c r="B27" t="s">
        <v>112</v>
      </c>
      <c r="C27">
        <v>2021</v>
      </c>
      <c r="D27">
        <v>57.35</v>
      </c>
      <c r="E27">
        <v>5.7430000000000003</v>
      </c>
      <c r="F27">
        <v>132.001</v>
      </c>
      <c r="G27">
        <v>113.005</v>
      </c>
      <c r="I27" s="1" t="s">
        <v>113</v>
      </c>
      <c r="J27" s="1" t="s">
        <v>114</v>
      </c>
      <c r="K27" s="1" t="s">
        <v>115</v>
      </c>
    </row>
    <row r="28" spans="1:11">
      <c r="A28" t="s">
        <v>112</v>
      </c>
      <c r="B28" t="s">
        <v>112</v>
      </c>
      <c r="C28">
        <v>2022</v>
      </c>
      <c r="D28">
        <v>60.53</v>
      </c>
      <c r="E28">
        <v>1.639</v>
      </c>
      <c r="F28">
        <v>127.24299999999999</v>
      </c>
      <c r="G28">
        <v>105.22199999999999</v>
      </c>
      <c r="H28" s="1" t="s">
        <v>116</v>
      </c>
      <c r="I28" s="1" t="s">
        <v>117</v>
      </c>
      <c r="J28" s="1" t="s">
        <v>118</v>
      </c>
      <c r="K28" s="1" t="s">
        <v>119</v>
      </c>
    </row>
    <row r="29" spans="1:11">
      <c r="A29" t="s">
        <v>112</v>
      </c>
      <c r="B29" t="s">
        <v>112</v>
      </c>
      <c r="C29">
        <v>2023</v>
      </c>
      <c r="D29">
        <v>61.86</v>
      </c>
      <c r="E29">
        <v>7.5019999999999998</v>
      </c>
      <c r="F29">
        <v>135.24100000000001</v>
      </c>
      <c r="G29">
        <v>112.628</v>
      </c>
      <c r="H29" s="1" t="s">
        <v>120</v>
      </c>
      <c r="I29" s="1" t="s">
        <v>121</v>
      </c>
      <c r="J29" s="1" t="s">
        <v>122</v>
      </c>
      <c r="K29" s="1" t="s">
        <v>123</v>
      </c>
    </row>
    <row r="30" spans="1:11">
      <c r="A30" t="s">
        <v>112</v>
      </c>
      <c r="B30" t="s">
        <v>112</v>
      </c>
      <c r="C30">
        <v>2024</v>
      </c>
      <c r="D30">
        <v>62.753</v>
      </c>
      <c r="E30">
        <v>6.0229999999999997</v>
      </c>
      <c r="F30">
        <v>137.17500000000001</v>
      </c>
      <c r="G30">
        <v>109.783</v>
      </c>
      <c r="H30" s="1" t="s">
        <v>124</v>
      </c>
      <c r="I30" s="1" t="s">
        <v>125</v>
      </c>
      <c r="J30" s="1" t="s">
        <v>126</v>
      </c>
      <c r="K30" s="1" t="s">
        <v>127</v>
      </c>
    </row>
    <row r="31" spans="1:11">
      <c r="A31" t="s">
        <v>112</v>
      </c>
      <c r="B31" t="s">
        <v>112</v>
      </c>
      <c r="C31">
        <v>2025</v>
      </c>
      <c r="D31">
        <v>67.534999999999997</v>
      </c>
      <c r="E31">
        <v>10.593</v>
      </c>
      <c r="F31">
        <v>151.88</v>
      </c>
      <c r="G31">
        <v>119.139</v>
      </c>
      <c r="H31" s="1" t="s">
        <v>128</v>
      </c>
      <c r="I31" s="1" t="s">
        <v>129</v>
      </c>
      <c r="J31" s="1" t="s">
        <v>130</v>
      </c>
      <c r="K31" s="1" t="s">
        <v>131</v>
      </c>
    </row>
    <row r="32" spans="1:11">
      <c r="A32" t="s">
        <v>132</v>
      </c>
      <c r="B32" t="s">
        <v>133</v>
      </c>
      <c r="C32">
        <v>2021</v>
      </c>
      <c r="D32">
        <v>117.929</v>
      </c>
      <c r="E32">
        <v>39.369999999999997</v>
      </c>
      <c r="F32">
        <v>165.98699999999999</v>
      </c>
      <c r="G32">
        <v>41.107999999999997</v>
      </c>
      <c r="I32" s="1" t="s">
        <v>134</v>
      </c>
      <c r="J32" s="1" t="s">
        <v>135</v>
      </c>
      <c r="K32" s="1" t="s">
        <v>136</v>
      </c>
    </row>
    <row r="33" spans="1:11">
      <c r="A33" t="s">
        <v>132</v>
      </c>
      <c r="B33" t="s">
        <v>133</v>
      </c>
      <c r="C33">
        <v>2022</v>
      </c>
      <c r="D33">
        <v>116.60899999999999</v>
      </c>
      <c r="E33">
        <v>23.2</v>
      </c>
      <c r="F33">
        <v>185.727</v>
      </c>
      <c r="G33">
        <v>60.014000000000003</v>
      </c>
      <c r="H33">
        <v>-1.1193175554782999</v>
      </c>
      <c r="I33" s="1" t="s">
        <v>137</v>
      </c>
      <c r="J33" s="1" t="s">
        <v>138</v>
      </c>
      <c r="K33" s="1" t="s">
        <v>139</v>
      </c>
    </row>
    <row r="34" spans="1:11">
      <c r="A34" t="s">
        <v>132</v>
      </c>
      <c r="B34" t="s">
        <v>133</v>
      </c>
      <c r="C34">
        <v>2023</v>
      </c>
      <c r="D34">
        <v>134.90199999999999</v>
      </c>
      <c r="E34">
        <v>39.097999999999999</v>
      </c>
      <c r="F34">
        <v>229.62299999999999</v>
      </c>
      <c r="G34">
        <v>76.454999999999998</v>
      </c>
      <c r="H34" s="1" t="s">
        <v>140</v>
      </c>
      <c r="I34" s="1" t="s">
        <v>141</v>
      </c>
      <c r="J34" s="1" t="s">
        <v>142</v>
      </c>
      <c r="K34" s="1" t="s">
        <v>143</v>
      </c>
    </row>
    <row r="35" spans="1:11">
      <c r="A35" t="s">
        <v>132</v>
      </c>
      <c r="B35" t="s">
        <v>133</v>
      </c>
      <c r="C35">
        <v>2024</v>
      </c>
      <c r="D35">
        <v>164.501</v>
      </c>
      <c r="E35">
        <v>62.36</v>
      </c>
      <c r="F35">
        <v>276.05399999999997</v>
      </c>
      <c r="G35">
        <v>93.417000000000002</v>
      </c>
      <c r="H35" s="1" t="s">
        <v>144</v>
      </c>
      <c r="I35" s="1" t="s">
        <v>145</v>
      </c>
      <c r="J35" s="1" t="s">
        <v>146</v>
      </c>
      <c r="K35" s="1" t="s">
        <v>147</v>
      </c>
    </row>
    <row r="36" spans="1:11">
      <c r="A36" t="s">
        <v>132</v>
      </c>
      <c r="B36" t="s">
        <v>133</v>
      </c>
      <c r="C36">
        <v>2025</v>
      </c>
      <c r="D36">
        <v>200.96600000000001</v>
      </c>
      <c r="E36">
        <v>60.457999999999998</v>
      </c>
      <c r="F36">
        <v>366.02100000000002</v>
      </c>
      <c r="G36">
        <v>148.77799999999999</v>
      </c>
      <c r="H36" s="1" t="s">
        <v>148</v>
      </c>
      <c r="I36" s="1" t="s">
        <v>149</v>
      </c>
      <c r="J36" s="1" t="s">
        <v>150</v>
      </c>
      <c r="K36" s="1" t="s">
        <v>151</v>
      </c>
    </row>
    <row r="37" spans="1:11">
      <c r="A37" t="s">
        <v>152</v>
      </c>
      <c r="B37" t="s">
        <v>153</v>
      </c>
      <c r="C37">
        <v>2021</v>
      </c>
      <c r="D37">
        <v>168.08799999999999</v>
      </c>
      <c r="E37">
        <v>61.271000000000001</v>
      </c>
      <c r="F37">
        <v>333.779</v>
      </c>
      <c r="G37">
        <v>191.791</v>
      </c>
      <c r="I37" s="1" t="s">
        <v>154</v>
      </c>
      <c r="J37" s="1" t="s">
        <v>155</v>
      </c>
      <c r="K37" s="1" t="s">
        <v>156</v>
      </c>
    </row>
    <row r="38" spans="1:11">
      <c r="A38" t="s">
        <v>152</v>
      </c>
      <c r="B38" t="s">
        <v>153</v>
      </c>
      <c r="C38">
        <v>2022</v>
      </c>
      <c r="D38">
        <v>198.27</v>
      </c>
      <c r="E38">
        <v>72.738</v>
      </c>
      <c r="F38">
        <v>364.84</v>
      </c>
      <c r="G38">
        <v>198.298</v>
      </c>
      <c r="H38" s="1" t="s">
        <v>157</v>
      </c>
      <c r="I38" s="1" t="s">
        <v>158</v>
      </c>
      <c r="J38" s="1" t="s">
        <v>159</v>
      </c>
      <c r="K38" s="1" t="s">
        <v>160</v>
      </c>
    </row>
    <row r="39" spans="1:11">
      <c r="A39" t="s">
        <v>152</v>
      </c>
      <c r="B39" t="s">
        <v>153</v>
      </c>
      <c r="C39">
        <v>2023</v>
      </c>
      <c r="D39">
        <v>211.91499999999999</v>
      </c>
      <c r="E39">
        <v>72.361000000000004</v>
      </c>
      <c r="F39">
        <v>411.976</v>
      </c>
      <c r="G39">
        <v>205.75299999999999</v>
      </c>
      <c r="H39" s="1" t="s">
        <v>161</v>
      </c>
      <c r="I39" s="1" t="s">
        <v>162</v>
      </c>
      <c r="J39" s="1" t="s">
        <v>163</v>
      </c>
      <c r="K39" s="1" t="s">
        <v>164</v>
      </c>
    </row>
    <row r="40" spans="1:11">
      <c r="A40" t="s">
        <v>152</v>
      </c>
      <c r="B40" t="s">
        <v>153</v>
      </c>
      <c r="C40">
        <v>2024</v>
      </c>
      <c r="D40">
        <v>245.12200000000001</v>
      </c>
      <c r="E40">
        <v>88.135999999999996</v>
      </c>
      <c r="F40">
        <v>512.16300000000001</v>
      </c>
      <c r="G40">
        <v>243.68600000000001</v>
      </c>
      <c r="H40" s="1" t="s">
        <v>165</v>
      </c>
      <c r="I40" s="1" t="s">
        <v>166</v>
      </c>
      <c r="J40" s="1" t="s">
        <v>167</v>
      </c>
      <c r="K40" s="1" t="s">
        <v>168</v>
      </c>
    </row>
    <row r="41" spans="1:11">
      <c r="A41" t="s">
        <v>152</v>
      </c>
      <c r="B41" t="s">
        <v>153</v>
      </c>
      <c r="C41">
        <v>2025</v>
      </c>
      <c r="D41">
        <v>281.72399999999999</v>
      </c>
      <c r="E41">
        <v>101.83199999999999</v>
      </c>
      <c r="F41">
        <v>619.00300000000004</v>
      </c>
      <c r="G41">
        <v>275.524</v>
      </c>
      <c r="H41" s="1" t="s">
        <v>169</v>
      </c>
      <c r="I41" s="1" t="s">
        <v>170</v>
      </c>
      <c r="J41" s="1" t="s">
        <v>171</v>
      </c>
      <c r="K41" s="1" t="s">
        <v>172</v>
      </c>
    </row>
    <row r="42" spans="1:11">
      <c r="A42" t="s">
        <v>173</v>
      </c>
      <c r="B42" t="s">
        <v>174</v>
      </c>
      <c r="C42">
        <v>2021</v>
      </c>
      <c r="D42">
        <v>16.675000000000001</v>
      </c>
      <c r="E42">
        <v>4.3319999999999999</v>
      </c>
      <c r="F42">
        <v>28.791</v>
      </c>
      <c r="G42">
        <v>11.898</v>
      </c>
      <c r="I42" s="1" t="s">
        <v>175</v>
      </c>
      <c r="J42" s="1" t="s">
        <v>176</v>
      </c>
      <c r="K42" s="1" t="s">
        <v>177</v>
      </c>
    </row>
    <row r="43" spans="1:11">
      <c r="A43" t="s">
        <v>173</v>
      </c>
      <c r="B43" t="s">
        <v>174</v>
      </c>
      <c r="C43">
        <v>2022</v>
      </c>
      <c r="D43">
        <v>26.914000000000001</v>
      </c>
      <c r="E43">
        <v>9.7520000000000007</v>
      </c>
      <c r="F43">
        <v>44.186999999999998</v>
      </c>
      <c r="G43">
        <v>17.574999999999999</v>
      </c>
      <c r="H43" s="1" t="s">
        <v>178</v>
      </c>
      <c r="I43" s="1" t="s">
        <v>179</v>
      </c>
      <c r="J43" s="1" t="s">
        <v>180</v>
      </c>
      <c r="K43" s="1" t="s">
        <v>181</v>
      </c>
    </row>
    <row r="44" spans="1:11">
      <c r="A44" t="s">
        <v>173</v>
      </c>
      <c r="B44" t="s">
        <v>174</v>
      </c>
      <c r="C44">
        <v>2023</v>
      </c>
      <c r="D44">
        <v>26.974</v>
      </c>
      <c r="E44">
        <v>4.3680000000000003</v>
      </c>
      <c r="F44">
        <v>41.182000000000002</v>
      </c>
      <c r="G44">
        <v>19.081</v>
      </c>
      <c r="H44" s="1" t="s">
        <v>182</v>
      </c>
      <c r="I44" s="1" t="s">
        <v>183</v>
      </c>
      <c r="J44" s="1" t="s">
        <v>184</v>
      </c>
      <c r="K44" s="1" t="s">
        <v>185</v>
      </c>
    </row>
    <row r="45" spans="1:11">
      <c r="A45" t="s">
        <v>173</v>
      </c>
      <c r="B45" t="s">
        <v>174</v>
      </c>
      <c r="C45">
        <v>2024</v>
      </c>
      <c r="D45">
        <v>60.921999999999997</v>
      </c>
      <c r="E45">
        <v>29.76</v>
      </c>
      <c r="F45">
        <v>65.727999999999994</v>
      </c>
      <c r="G45">
        <v>22.75</v>
      </c>
      <c r="H45" s="1" t="s">
        <v>186</v>
      </c>
      <c r="I45" s="1" t="s">
        <v>187</v>
      </c>
      <c r="J45" s="1" t="s">
        <v>188</v>
      </c>
      <c r="K45" s="1" t="s">
        <v>189</v>
      </c>
    </row>
    <row r="46" spans="1:11">
      <c r="A46" t="s">
        <v>173</v>
      </c>
      <c r="B46" t="s">
        <v>174</v>
      </c>
      <c r="C46">
        <v>2025</v>
      </c>
      <c r="D46">
        <v>130.49700000000001</v>
      </c>
      <c r="E46">
        <v>72.88</v>
      </c>
      <c r="F46">
        <v>111.601</v>
      </c>
      <c r="G46">
        <v>32.274000000000001</v>
      </c>
      <c r="H46" s="1" t="s">
        <v>190</v>
      </c>
      <c r="I46" s="1" t="s">
        <v>191</v>
      </c>
      <c r="J46" s="1" t="s">
        <v>192</v>
      </c>
      <c r="K46" s="1" t="s">
        <v>193</v>
      </c>
    </row>
    <row r="47" spans="1:11">
      <c r="A47" t="s">
        <v>194</v>
      </c>
      <c r="B47" t="s">
        <v>195</v>
      </c>
      <c r="C47">
        <v>2021</v>
      </c>
      <c r="D47">
        <v>40.478999999999999</v>
      </c>
      <c r="E47">
        <v>13.746</v>
      </c>
      <c r="F47">
        <v>131.107</v>
      </c>
      <c r="G47">
        <v>125.869</v>
      </c>
      <c r="I47" s="1" t="s">
        <v>196</v>
      </c>
      <c r="J47" s="1" t="s">
        <v>197</v>
      </c>
      <c r="K47" s="1" t="s">
        <v>198</v>
      </c>
    </row>
    <row r="48" spans="1:11">
      <c r="A48" t="s">
        <v>194</v>
      </c>
      <c r="B48" t="s">
        <v>195</v>
      </c>
      <c r="C48">
        <v>2022</v>
      </c>
      <c r="D48">
        <v>42.44</v>
      </c>
      <c r="E48">
        <v>6.7169999999999996</v>
      </c>
      <c r="F48">
        <v>109.297</v>
      </c>
      <c r="G48">
        <v>115.517</v>
      </c>
      <c r="H48" s="1" t="s">
        <v>199</v>
      </c>
      <c r="I48" s="1" t="s">
        <v>200</v>
      </c>
      <c r="J48" s="1" t="s">
        <v>201</v>
      </c>
      <c r="K48" s="1" t="s">
        <v>202</v>
      </c>
    </row>
    <row r="49" spans="1:11">
      <c r="A49" t="s">
        <v>194</v>
      </c>
      <c r="B49" t="s">
        <v>195</v>
      </c>
      <c r="C49">
        <v>2023</v>
      </c>
      <c r="D49">
        <v>49.954000000000001</v>
      </c>
      <c r="E49">
        <v>8.5030000000000001</v>
      </c>
      <c r="F49">
        <v>134.38399999999999</v>
      </c>
      <c r="G49">
        <v>133.31100000000001</v>
      </c>
      <c r="H49" s="1" t="s">
        <v>203</v>
      </c>
      <c r="I49" s="1" t="s">
        <v>204</v>
      </c>
      <c r="J49" s="1" t="s">
        <v>205</v>
      </c>
      <c r="K49" s="1" t="s">
        <v>206</v>
      </c>
    </row>
    <row r="50" spans="1:11">
      <c r="A50" t="s">
        <v>194</v>
      </c>
      <c r="B50" t="s">
        <v>195</v>
      </c>
      <c r="C50">
        <v>2024</v>
      </c>
      <c r="D50">
        <v>52.960999999999999</v>
      </c>
      <c r="E50">
        <v>10.467000000000001</v>
      </c>
      <c r="F50">
        <v>140.976</v>
      </c>
      <c r="G50">
        <v>132.27199999999999</v>
      </c>
      <c r="H50" s="1" t="s">
        <v>207</v>
      </c>
      <c r="I50" s="1" t="s">
        <v>208</v>
      </c>
      <c r="J50" s="1" t="s">
        <v>209</v>
      </c>
      <c r="K50" s="1" t="s">
        <v>210</v>
      </c>
    </row>
    <row r="51" spans="1:11">
      <c r="A51" t="s">
        <v>194</v>
      </c>
      <c r="B51" t="s">
        <v>195</v>
      </c>
      <c r="C51">
        <v>2025</v>
      </c>
      <c r="D51">
        <v>57.399000000000001</v>
      </c>
      <c r="E51">
        <v>12.443</v>
      </c>
      <c r="F51">
        <v>168.36099999999999</v>
      </c>
      <c r="G51">
        <v>147.91</v>
      </c>
      <c r="H51" s="1" t="s">
        <v>211</v>
      </c>
      <c r="I51" s="1" t="s">
        <v>212</v>
      </c>
      <c r="J51" s="1" t="s">
        <v>213</v>
      </c>
      <c r="K51" s="1" t="s">
        <v>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95AD5-0F53-43A0-AC09-4D7AEC1CF4F4}">
  <dimension ref="A1:G51"/>
  <sheetViews>
    <sheetView workbookViewId="0">
      <selection activeCell="F2" sqref="F2"/>
    </sheetView>
  </sheetViews>
  <sheetFormatPr defaultRowHeight="14.5"/>
  <cols>
    <col min="1" max="1" width="18.1796875" customWidth="1"/>
    <col min="2" max="2" width="16.1796875" customWidth="1"/>
    <col min="3" max="3" width="27.6328125" customWidth="1"/>
    <col min="4" max="4" width="29.36328125" customWidth="1"/>
    <col min="5" max="8" width="27.6328125" customWidth="1"/>
  </cols>
  <sheetData>
    <row r="1" spans="1:7" ht="18.5">
      <c r="A1" s="3" t="s">
        <v>0</v>
      </c>
      <c r="B1" s="3" t="s">
        <v>2</v>
      </c>
      <c r="C1" s="3" t="s">
        <v>215</v>
      </c>
      <c r="D1" s="3" t="s">
        <v>216</v>
      </c>
      <c r="E1" s="3" t="s">
        <v>217</v>
      </c>
      <c r="F1" s="3" t="s">
        <v>218</v>
      </c>
      <c r="G1" s="2"/>
    </row>
    <row r="2" spans="1:7">
      <c r="A2" s="4" t="s">
        <v>11</v>
      </c>
      <c r="B2" s="4">
        <v>2021</v>
      </c>
      <c r="C2" s="5"/>
      <c r="D2" s="6">
        <v>30.547988596768999</v>
      </c>
      <c r="E2" s="6">
        <v>17.701259131456201</v>
      </c>
      <c r="F2" s="6">
        <v>45.681142395653602</v>
      </c>
    </row>
    <row r="3" spans="1:7">
      <c r="A3" s="4" t="s">
        <v>11</v>
      </c>
      <c r="B3" s="4">
        <v>2022</v>
      </c>
      <c r="C3" s="6">
        <v>11.536268609439301</v>
      </c>
      <c r="D3" s="6">
        <v>27.0135181188231</v>
      </c>
      <c r="E3" s="6">
        <v>17.507822565801501</v>
      </c>
      <c r="F3" s="6">
        <v>48.275354316215697</v>
      </c>
    </row>
    <row r="4" spans="1:7">
      <c r="A4" s="4" t="s">
        <v>11</v>
      </c>
      <c r="B4" s="4">
        <v>2023</v>
      </c>
      <c r="C4" s="6">
        <v>10.240826990798499</v>
      </c>
      <c r="D4" s="6">
        <v>27.966407336802501</v>
      </c>
      <c r="E4" s="6">
        <v>18.227610060781</v>
      </c>
      <c r="F4" s="6">
        <v>44.531381174653198</v>
      </c>
    </row>
    <row r="5" spans="1:7">
      <c r="A5" s="4" t="s">
        <v>11</v>
      </c>
      <c r="B5" s="4">
        <v>2024</v>
      </c>
      <c r="C5" s="6">
        <v>10.7991138131794</v>
      </c>
      <c r="D5" s="6">
        <v>25.854452452917901</v>
      </c>
      <c r="E5" s="6">
        <v>18.392325504465699</v>
      </c>
      <c r="F5" s="6">
        <v>53.341051935163698</v>
      </c>
    </row>
    <row r="6" spans="1:7">
      <c r="A6" s="4" t="s">
        <v>11</v>
      </c>
      <c r="B6" s="4">
        <v>2025</v>
      </c>
      <c r="C6" s="6">
        <v>10.5277842362241</v>
      </c>
      <c r="D6" s="6">
        <v>29.9970549875888</v>
      </c>
      <c r="E6" s="6">
        <v>24.172769189042501</v>
      </c>
      <c r="F6" s="6">
        <v>60.594656902630803</v>
      </c>
    </row>
    <row r="7" spans="1:7">
      <c r="A7" s="4" t="s">
        <v>32</v>
      </c>
      <c r="B7" s="4">
        <v>2021</v>
      </c>
      <c r="C7" s="5"/>
      <c r="D7" s="6">
        <v>29.511677282377899</v>
      </c>
      <c r="E7" s="6">
        <v>21.163309841121301</v>
      </c>
      <c r="F7" s="6">
        <v>29.9589721322244</v>
      </c>
    </row>
    <row r="8" spans="1:7">
      <c r="A8" s="4" t="s">
        <v>32</v>
      </c>
      <c r="B8" s="4">
        <v>2022</v>
      </c>
      <c r="C8" s="6">
        <v>9.7808156437157798</v>
      </c>
      <c r="D8" s="6">
        <v>21.203807153261899</v>
      </c>
      <c r="E8" s="6">
        <v>16.418809409084901</v>
      </c>
      <c r="F8" s="6">
        <v>29.874282710587401</v>
      </c>
    </row>
    <row r="9" spans="1:7">
      <c r="A9" s="4" t="s">
        <v>32</v>
      </c>
      <c r="B9" s="4">
        <v>2023</v>
      </c>
      <c r="C9" s="6">
        <v>8.6827702272695095</v>
      </c>
      <c r="D9" s="6">
        <v>24.006649446638502</v>
      </c>
      <c r="E9" s="6">
        <v>18.339082287918199</v>
      </c>
      <c r="F9" s="6">
        <v>29.576383228294802</v>
      </c>
    </row>
    <row r="10" spans="1:7">
      <c r="A10" s="4" t="s">
        <v>32</v>
      </c>
      <c r="B10" s="4">
        <v>2024</v>
      </c>
      <c r="C10" s="6">
        <v>13.8662433229015</v>
      </c>
      <c r="D10" s="6">
        <v>28.603671811163998</v>
      </c>
      <c r="E10" s="6">
        <v>22.2357947478767</v>
      </c>
      <c r="F10" s="6">
        <v>27.800184783767399</v>
      </c>
    </row>
    <row r="11" spans="1:7">
      <c r="A11" s="4" t="s">
        <v>32</v>
      </c>
      <c r="B11" s="4">
        <v>2025</v>
      </c>
      <c r="C11" s="6">
        <v>15.0900810815443</v>
      </c>
      <c r="D11" s="6">
        <v>32.809877965226498</v>
      </c>
      <c r="E11" s="6">
        <v>22.202959610671201</v>
      </c>
      <c r="F11" s="6">
        <v>30.240508264164301</v>
      </c>
    </row>
    <row r="12" spans="1:7">
      <c r="A12" s="4" t="s">
        <v>53</v>
      </c>
      <c r="B12" s="4">
        <v>2021</v>
      </c>
      <c r="C12" s="5"/>
      <c r="D12" s="6">
        <v>7.1014128755145496</v>
      </c>
      <c r="E12" s="6">
        <v>7.9334393851845997</v>
      </c>
      <c r="F12" s="6">
        <v>67.127492872412006</v>
      </c>
    </row>
    <row r="13" spans="1:7">
      <c r="A13" s="4" t="s">
        <v>53</v>
      </c>
      <c r="B13" s="4">
        <v>2022</v>
      </c>
      <c r="C13" s="6">
        <v>9.3995172639850608</v>
      </c>
      <c r="D13" s="5">
        <v>-0.52958950004183003</v>
      </c>
      <c r="E13" s="5">
        <v>-0.58831793375479502</v>
      </c>
      <c r="F13" s="6">
        <v>68.435078618900903</v>
      </c>
    </row>
    <row r="14" spans="1:7">
      <c r="A14" s="4" t="s">
        <v>53</v>
      </c>
      <c r="B14" s="4">
        <v>2023</v>
      </c>
      <c r="C14" s="6">
        <v>11.8295741298836</v>
      </c>
      <c r="D14" s="6">
        <v>5.2932835755978296</v>
      </c>
      <c r="E14" s="6">
        <v>5.7639044129626704</v>
      </c>
      <c r="F14" s="6">
        <v>61.7555233075812</v>
      </c>
    </row>
    <row r="15" spans="1:7">
      <c r="A15" s="4" t="s">
        <v>53</v>
      </c>
      <c r="B15" s="4">
        <v>2024</v>
      </c>
      <c r="C15" s="6">
        <v>10.9908922466661</v>
      </c>
      <c r="D15" s="6">
        <v>9.2871171971866495</v>
      </c>
      <c r="E15" s="6">
        <v>9.4812880264492794</v>
      </c>
      <c r="F15" s="6">
        <v>54.237038601746796</v>
      </c>
    </row>
    <row r="16" spans="1:7">
      <c r="A16" s="4" t="s">
        <v>53</v>
      </c>
      <c r="B16" s="4">
        <v>2025</v>
      </c>
      <c r="C16" s="6">
        <v>12.377754683294601</v>
      </c>
      <c r="D16" s="6">
        <v>10.8337843341832</v>
      </c>
      <c r="E16" s="6">
        <v>9.4946225254937993</v>
      </c>
      <c r="F16" s="6">
        <v>49.750135078638898</v>
      </c>
    </row>
    <row r="17" spans="1:6">
      <c r="A17" s="4" t="s">
        <v>72</v>
      </c>
      <c r="B17" s="4">
        <v>2021</v>
      </c>
      <c r="C17" s="5"/>
      <c r="D17" s="6">
        <v>25.881793355694199</v>
      </c>
      <c r="E17" s="6">
        <v>26.9742052751836</v>
      </c>
      <c r="F17" s="6">
        <v>82.025743443057294</v>
      </c>
    </row>
    <row r="18" spans="1:6">
      <c r="A18" s="4" t="s">
        <v>72</v>
      </c>
      <c r="B18" s="4">
        <v>2022</v>
      </c>
      <c r="C18" s="6">
        <v>7.7937876041845797</v>
      </c>
      <c r="D18" s="6">
        <v>25.309640705199701</v>
      </c>
      <c r="E18" s="6">
        <v>28.292440929256799</v>
      </c>
      <c r="F18" s="6">
        <v>85.635355983614701</v>
      </c>
    </row>
    <row r="19" spans="1:6">
      <c r="A19" s="4" t="s">
        <v>72</v>
      </c>
      <c r="B19" s="4">
        <v>2023</v>
      </c>
      <c r="C19" s="5">
        <v>-2.8004605303199201</v>
      </c>
      <c r="D19" s="6">
        <v>25.306234264320199</v>
      </c>
      <c r="E19" s="6">
        <v>27.509834563776401</v>
      </c>
      <c r="F19" s="6">
        <v>82.374079294804304</v>
      </c>
    </row>
    <row r="20" spans="1:6">
      <c r="A20" s="4" t="s">
        <v>72</v>
      </c>
      <c r="B20" s="4">
        <v>2024</v>
      </c>
      <c r="C20" s="6">
        <v>2.0219940775141101</v>
      </c>
      <c r="D20" s="6">
        <v>23.971255769943799</v>
      </c>
      <c r="E20" s="6">
        <v>25.682503150857499</v>
      </c>
      <c r="F20" s="6">
        <v>84.396405282481197</v>
      </c>
    </row>
    <row r="21" spans="1:6">
      <c r="A21" s="4" t="s">
        <v>72</v>
      </c>
      <c r="B21" s="4">
        <v>2025</v>
      </c>
      <c r="C21" s="6">
        <v>6.4255117828327197</v>
      </c>
      <c r="D21" s="6">
        <v>26.915064121818201</v>
      </c>
      <c r="E21" s="6">
        <v>31.179625933565401</v>
      </c>
      <c r="F21" s="6">
        <v>79.475338282657006</v>
      </c>
    </row>
    <row r="22" spans="1:6">
      <c r="A22" s="4" t="s">
        <v>92</v>
      </c>
      <c r="B22" s="4">
        <v>2021</v>
      </c>
      <c r="C22" s="5"/>
      <c r="D22" s="6">
        <v>21.259384158336299</v>
      </c>
      <c r="E22" s="6">
        <v>10.8628983455901</v>
      </c>
      <c r="F22" s="6">
        <v>57.665364062483903</v>
      </c>
    </row>
    <row r="23" spans="1:6">
      <c r="A23" s="4" t="s">
        <v>92</v>
      </c>
      <c r="B23" s="4">
        <v>2022</v>
      </c>
      <c r="C23" s="6">
        <v>3.49070617046047</v>
      </c>
      <c r="D23" s="6">
        <v>22.9105650057218</v>
      </c>
      <c r="E23" s="6">
        <v>12.5656900917001</v>
      </c>
      <c r="F23" s="6">
        <v>57.689198102168</v>
      </c>
    </row>
    <row r="24" spans="1:6">
      <c r="A24" s="4" t="s">
        <v>92</v>
      </c>
      <c r="B24" s="4">
        <v>2023</v>
      </c>
      <c r="C24" s="6">
        <v>10.553368116841501</v>
      </c>
      <c r="D24" s="6">
        <v>22.128846626197401</v>
      </c>
      <c r="E24" s="6">
        <v>12.383654714684001</v>
      </c>
      <c r="F24" s="6">
        <v>56.453481522208598</v>
      </c>
    </row>
    <row r="25" spans="1:6">
      <c r="A25" s="4" t="s">
        <v>92</v>
      </c>
      <c r="B25" s="4">
        <v>2024</v>
      </c>
      <c r="C25" s="5">
        <v>-5.6054598406961702</v>
      </c>
      <c r="D25" s="6">
        <v>19.181086556511701</v>
      </c>
      <c r="E25" s="6">
        <v>8.2949530997564498</v>
      </c>
      <c r="F25" s="6">
        <v>63.462821409338197</v>
      </c>
    </row>
    <row r="26" spans="1:6">
      <c r="A26" s="4" t="s">
        <v>92</v>
      </c>
      <c r="B26" s="4">
        <v>2025</v>
      </c>
      <c r="C26" s="6">
        <v>5.2989610244781904</v>
      </c>
      <c r="D26" s="6">
        <v>17.968722420305699</v>
      </c>
      <c r="E26" s="6">
        <v>8.3244065385024193</v>
      </c>
      <c r="F26" s="6">
        <v>61.695464097930298</v>
      </c>
    </row>
    <row r="27" spans="1:6">
      <c r="A27" s="4" t="s">
        <v>112</v>
      </c>
      <c r="B27" s="4">
        <v>2021</v>
      </c>
      <c r="C27" s="5"/>
      <c r="D27" s="6">
        <v>10.0139494333042</v>
      </c>
      <c r="E27" s="6">
        <v>4.3507246157225996</v>
      </c>
      <c r="F27" s="6">
        <v>85.609199930303504</v>
      </c>
    </row>
    <row r="28" spans="1:6">
      <c r="A28" s="4" t="s">
        <v>112</v>
      </c>
      <c r="B28" s="4">
        <v>2022</v>
      </c>
      <c r="C28" s="6">
        <v>5.5448997384481098</v>
      </c>
      <c r="D28" s="6">
        <v>2.7077482240211399</v>
      </c>
      <c r="E28" s="6">
        <v>1.28808657450704</v>
      </c>
      <c r="F28" s="6">
        <v>82.693743467224095</v>
      </c>
    </row>
    <row r="29" spans="1:6">
      <c r="A29" s="4" t="s">
        <v>112</v>
      </c>
      <c r="B29" s="4">
        <v>2023</v>
      </c>
      <c r="C29" s="6">
        <v>2.19725755823558</v>
      </c>
      <c r="D29" s="6">
        <v>12.1273844164241</v>
      </c>
      <c r="E29" s="6">
        <v>5.5471343749306703</v>
      </c>
      <c r="F29" s="6">
        <v>83.279478856264006</v>
      </c>
    </row>
    <row r="30" spans="1:6">
      <c r="A30" s="4" t="s">
        <v>112</v>
      </c>
      <c r="B30" s="4">
        <v>2024</v>
      </c>
      <c r="C30" s="6">
        <v>1.44358228257355</v>
      </c>
      <c r="D30" s="6">
        <v>9.5979475084856496</v>
      </c>
      <c r="E30" s="6">
        <v>4.3907417532349102</v>
      </c>
      <c r="F30" s="6">
        <v>80.031346819755697</v>
      </c>
    </row>
    <row r="31" spans="1:6">
      <c r="A31" s="4" t="s">
        <v>112</v>
      </c>
      <c r="B31" s="4">
        <v>2025</v>
      </c>
      <c r="C31" s="6">
        <v>7.6203528118177601</v>
      </c>
      <c r="D31" s="6">
        <v>15.685200266528399</v>
      </c>
      <c r="E31" s="6">
        <v>6.97458519884119</v>
      </c>
      <c r="F31" s="6">
        <v>78.442849618119496</v>
      </c>
    </row>
    <row r="32" spans="1:6">
      <c r="A32" s="4" t="s">
        <v>132</v>
      </c>
      <c r="B32" s="4">
        <v>2021</v>
      </c>
      <c r="C32" s="5"/>
      <c r="D32" s="6">
        <v>33.384494059985201</v>
      </c>
      <c r="E32" s="6">
        <v>23.7187249603884</v>
      </c>
      <c r="F32" s="6">
        <v>24.765794911649699</v>
      </c>
    </row>
    <row r="33" spans="1:6">
      <c r="A33" s="4" t="s">
        <v>132</v>
      </c>
      <c r="B33" s="4">
        <v>2022</v>
      </c>
      <c r="C33" s="5">
        <v>-1.1193175554782999</v>
      </c>
      <c r="D33" s="6">
        <v>19.895548371051898</v>
      </c>
      <c r="E33" s="6">
        <v>12.491452508251299</v>
      </c>
      <c r="F33" s="6">
        <v>32.313018570267097</v>
      </c>
    </row>
    <row r="34" spans="1:6">
      <c r="A34" s="4" t="s">
        <v>132</v>
      </c>
      <c r="B34" s="4">
        <v>2023</v>
      </c>
      <c r="C34" s="6">
        <v>15.6874683772264</v>
      </c>
      <c r="D34" s="6">
        <v>28.982520644615999</v>
      </c>
      <c r="E34" s="6">
        <v>17.027039974218599</v>
      </c>
      <c r="F34" s="6">
        <v>33.295880639134502</v>
      </c>
    </row>
    <row r="35" spans="1:6">
      <c r="A35" s="4" t="s">
        <v>132</v>
      </c>
      <c r="B35" s="4">
        <v>2024</v>
      </c>
      <c r="C35" s="6">
        <v>21.941112807816001</v>
      </c>
      <c r="D35" s="6">
        <v>37.908584142345603</v>
      </c>
      <c r="E35" s="6">
        <v>22.589783158367499</v>
      </c>
      <c r="F35" s="6">
        <v>33.8401182377361</v>
      </c>
    </row>
    <row r="36" spans="1:6">
      <c r="A36" s="4" t="s">
        <v>132</v>
      </c>
      <c r="B36" s="4">
        <v>2025</v>
      </c>
      <c r="C36" s="6">
        <v>22.1670384982462</v>
      </c>
      <c r="D36" s="6">
        <v>30.083695749529699</v>
      </c>
      <c r="E36" s="6">
        <v>16.517631502017601</v>
      </c>
      <c r="F36" s="6">
        <v>40.6473945484002</v>
      </c>
    </row>
    <row r="37" spans="1:6">
      <c r="A37" s="4" t="s">
        <v>152</v>
      </c>
      <c r="B37" s="4">
        <v>2021</v>
      </c>
      <c r="C37" s="5"/>
      <c r="D37" s="6">
        <v>36.451739564989701</v>
      </c>
      <c r="E37" s="6">
        <v>18.3567570158697</v>
      </c>
      <c r="F37" s="6">
        <v>57.460475344464399</v>
      </c>
    </row>
    <row r="38" spans="1:6">
      <c r="A38" s="4" t="s">
        <v>152</v>
      </c>
      <c r="B38" s="4">
        <v>2022</v>
      </c>
      <c r="C38" s="6">
        <v>17.956070629670101</v>
      </c>
      <c r="D38" s="6">
        <v>36.686336813436199</v>
      </c>
      <c r="E38" s="6">
        <v>19.936958666812799</v>
      </c>
      <c r="F38" s="6">
        <v>54.352044731937198</v>
      </c>
    </row>
    <row r="39" spans="1:6">
      <c r="A39" s="4" t="s">
        <v>152</v>
      </c>
      <c r="B39" s="4">
        <v>2023</v>
      </c>
      <c r="C39" s="6">
        <v>6.8820295556564197</v>
      </c>
      <c r="D39" s="6">
        <v>34.146237878394601</v>
      </c>
      <c r="E39" s="6">
        <v>17.564372681903802</v>
      </c>
      <c r="F39" s="6">
        <v>49.9429578422044</v>
      </c>
    </row>
    <row r="40" spans="1:6">
      <c r="A40" s="4" t="s">
        <v>152</v>
      </c>
      <c r="B40" s="4">
        <v>2024</v>
      </c>
      <c r="C40" s="6">
        <v>15.669962013071199</v>
      </c>
      <c r="D40" s="6">
        <v>35.955972944084898</v>
      </c>
      <c r="E40" s="6">
        <v>17.2085839859575</v>
      </c>
      <c r="F40" s="6">
        <v>47.579774407756901</v>
      </c>
    </row>
    <row r="41" spans="1:6">
      <c r="A41" s="4" t="s">
        <v>152</v>
      </c>
      <c r="B41" s="4">
        <v>2025</v>
      </c>
      <c r="C41" s="6">
        <v>14.932156232406699</v>
      </c>
      <c r="D41" s="6">
        <v>36.146015248966997</v>
      </c>
      <c r="E41" s="6">
        <v>16.450970350709099</v>
      </c>
      <c r="F41" s="6">
        <v>44.510931287893598</v>
      </c>
    </row>
    <row r="42" spans="1:6">
      <c r="A42" s="4" t="s">
        <v>173</v>
      </c>
      <c r="B42" s="4">
        <v>2021</v>
      </c>
      <c r="C42" s="5"/>
      <c r="D42" s="6">
        <v>25.9790104947526</v>
      </c>
      <c r="E42" s="6">
        <v>15.0463686568719</v>
      </c>
      <c r="F42" s="6">
        <v>41.325414191934897</v>
      </c>
    </row>
    <row r="43" spans="1:6">
      <c r="A43" s="4" t="s">
        <v>173</v>
      </c>
      <c r="B43" s="4">
        <v>2022</v>
      </c>
      <c r="C43" s="6">
        <v>61.4032983508245</v>
      </c>
      <c r="D43" s="6">
        <v>36.233930296499899</v>
      </c>
      <c r="E43" s="6">
        <v>22.069839545567699</v>
      </c>
      <c r="F43" s="6">
        <v>39.774141715889201</v>
      </c>
    </row>
    <row r="44" spans="1:6">
      <c r="A44" s="4" t="s">
        <v>173</v>
      </c>
      <c r="B44" s="4">
        <v>2023</v>
      </c>
      <c r="C44" s="6">
        <v>0.222932302890677</v>
      </c>
      <c r="D44" s="6">
        <v>16.193371394676301</v>
      </c>
      <c r="E44" s="6">
        <v>10.606575688407499</v>
      </c>
      <c r="F44" s="6">
        <v>46.333349521635597</v>
      </c>
    </row>
    <row r="45" spans="1:6">
      <c r="A45" s="4" t="s">
        <v>173</v>
      </c>
      <c r="B45" s="4">
        <v>2024</v>
      </c>
      <c r="C45" s="6">
        <v>125.854526581152</v>
      </c>
      <c r="D45" s="6">
        <v>48.849348347066702</v>
      </c>
      <c r="E45" s="6">
        <v>45.2775073028237</v>
      </c>
      <c r="F45" s="6">
        <v>34.6123417721519</v>
      </c>
    </row>
    <row r="46" spans="1:6">
      <c r="A46" s="4" t="s">
        <v>173</v>
      </c>
      <c r="B46" s="4">
        <v>2025</v>
      </c>
      <c r="C46" s="6">
        <v>114.203407635993</v>
      </c>
      <c r="D46" s="6">
        <v>55.848027157712401</v>
      </c>
      <c r="E46" s="6">
        <v>65.304074336251404</v>
      </c>
      <c r="F46" s="6">
        <v>28.919095707027701</v>
      </c>
    </row>
    <row r="47" spans="1:6">
      <c r="A47" s="4" t="s">
        <v>194</v>
      </c>
      <c r="B47" s="4">
        <v>2021</v>
      </c>
      <c r="C47" s="5"/>
      <c r="D47" s="6">
        <v>33.958348773437997</v>
      </c>
      <c r="E47" s="6">
        <v>10.4845660414775</v>
      </c>
      <c r="F47" s="6">
        <v>96.004789980702697</v>
      </c>
    </row>
    <row r="48" spans="1:6">
      <c r="A48" s="4" t="s">
        <v>194</v>
      </c>
      <c r="B48" s="4">
        <v>2022</v>
      </c>
      <c r="C48" s="6">
        <v>4.8444872650015904</v>
      </c>
      <c r="D48" s="6">
        <v>15.827049952874599</v>
      </c>
      <c r="E48" s="6">
        <v>6.1456398620273198</v>
      </c>
      <c r="F48" s="6">
        <v>105.690915578652</v>
      </c>
    </row>
    <row r="49" spans="1:6">
      <c r="A49" s="4" t="s">
        <v>194</v>
      </c>
      <c r="B49" s="4">
        <v>2023</v>
      </c>
      <c r="C49" s="6">
        <v>17.704995287464602</v>
      </c>
      <c r="D49" s="6">
        <v>17.021659927132902</v>
      </c>
      <c r="E49" s="6">
        <v>6.3273901654958902</v>
      </c>
      <c r="F49" s="6">
        <v>99.201541850220195</v>
      </c>
    </row>
    <row r="50" spans="1:6">
      <c r="A50" s="4" t="s">
        <v>194</v>
      </c>
      <c r="B50" s="4">
        <v>2024</v>
      </c>
      <c r="C50" s="6">
        <v>6.0195379749369202</v>
      </c>
      <c r="D50" s="6">
        <v>19.7635996299163</v>
      </c>
      <c r="E50" s="6">
        <v>7.4246680286006104</v>
      </c>
      <c r="F50" s="6">
        <v>93.825899443876907</v>
      </c>
    </row>
    <row r="51" spans="1:6">
      <c r="A51" s="4" t="s">
        <v>194</v>
      </c>
      <c r="B51" s="4">
        <v>2025</v>
      </c>
      <c r="C51" s="6">
        <v>8.3797511376295795</v>
      </c>
      <c r="D51" s="6">
        <v>21.6780780152964</v>
      </c>
      <c r="E51" s="6">
        <v>7.3906664845183796</v>
      </c>
      <c r="F51" s="6">
        <v>87.852887545215296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0A22E-8E95-4C95-AA82-F513958BB7D1}">
  <dimension ref="A1:E11"/>
  <sheetViews>
    <sheetView workbookViewId="0">
      <selection activeCell="D20" sqref="D20"/>
    </sheetView>
  </sheetViews>
  <sheetFormatPr defaultRowHeight="14.5"/>
  <cols>
    <col min="1" max="1" width="14.54296875" customWidth="1"/>
    <col min="2" max="5" width="27.81640625" customWidth="1"/>
    <col min="6" max="7" width="23.81640625" customWidth="1"/>
  </cols>
  <sheetData>
    <row r="1" spans="1:5">
      <c r="A1" s="7" t="s">
        <v>219</v>
      </c>
      <c r="B1" s="7" t="s">
        <v>220</v>
      </c>
      <c r="C1" s="7" t="s">
        <v>221</v>
      </c>
      <c r="D1" s="7" t="s">
        <v>222</v>
      </c>
      <c r="E1" s="7" t="s">
        <v>223</v>
      </c>
    </row>
    <row r="2" spans="1:5">
      <c r="A2" s="8" t="s">
        <v>11</v>
      </c>
      <c r="B2" s="9">
        <f>AVERAGEIF(Financial_Analysis!$A$2:$A$51,A2,Financial_Analysis!$C$2:$C$51)</f>
        <v>10.775998412410326</v>
      </c>
      <c r="C2" s="9">
        <f>AVERAGEIF(Financial_Analysis!$A$2:$A$51,A2,Financial_Analysis!$D$2:$D$51)</f>
        <v>28.275884298580262</v>
      </c>
      <c r="D2" s="9">
        <f>AVERAGEIF(Financial_Analysis!$A$2:$A$51,A2,Financial_Analysis!$E$2:$E$51)</f>
        <v>19.20035729030938</v>
      </c>
      <c r="E2" s="9">
        <f>AVERAGEIF(Financial_Analysis!$A$2:$A$51,A2,Financial_Analysis!$F$2:$F$51)</f>
        <v>50.484717344863405</v>
      </c>
    </row>
    <row r="3" spans="1:5">
      <c r="A3" s="8" t="s">
        <v>32</v>
      </c>
      <c r="B3" s="9">
        <f>AVERAGEIF(Financial_Analysis!$A$2:$A$51,A3,Financial_Analysis!$C$2:$C$51)</f>
        <v>11.854977568857773</v>
      </c>
      <c r="C3" s="9">
        <f>AVERAGEIF(Financial_Analysis!$A$2:$A$51,A3,Financial_Analysis!$D$2:$D$51)</f>
        <v>27.227136731733758</v>
      </c>
      <c r="D3" s="9">
        <f>AVERAGEIF(Financial_Analysis!$A$2:$A$51,A3,Financial_Analysis!$E$2:$E$51)</f>
        <v>20.071991179334461</v>
      </c>
      <c r="E3" s="9">
        <f>AVERAGEIF(Financial_Analysis!$A$2:$A$51,A3,Financial_Analysis!$F$2:$F$51)</f>
        <v>29.490066223807663</v>
      </c>
    </row>
    <row r="4" spans="1:5">
      <c r="A4" s="8" t="s">
        <v>53</v>
      </c>
      <c r="B4" s="9">
        <f>AVERAGEIF(Financial_Analysis!$A$2:$A$51,A4,Financial_Analysis!$C$2:$C$51)</f>
        <v>11.14943458095734</v>
      </c>
      <c r="C4" s="9">
        <f>AVERAGEIF(Financial_Analysis!$A$2:$A$51,A4,Financial_Analysis!$D$2:$D$51)</f>
        <v>6.3972016964880796</v>
      </c>
      <c r="D4" s="9">
        <f>AVERAGEIF(Financial_Analysis!$A$2:$A$51,A4,Financial_Analysis!$E$2:$E$51)</f>
        <v>6.41698728326711</v>
      </c>
      <c r="E4" s="9">
        <f>AVERAGEIF(Financial_Analysis!$A$2:$A$51,A4,Financial_Analysis!$F$2:$F$51)</f>
        <v>60.261053695855956</v>
      </c>
    </row>
    <row r="5" spans="1:5">
      <c r="A5" s="8" t="s">
        <v>72</v>
      </c>
      <c r="B5" s="9">
        <f>AVERAGEIF(Financial_Analysis!$A$2:$A$51,A5,Financial_Analysis!$C$2:$C$51)</f>
        <v>3.3602082335528722</v>
      </c>
      <c r="C5" s="9">
        <f>AVERAGEIF(Financial_Analysis!$A$2:$A$51,A5,Financial_Analysis!$D$2:$D$51)</f>
        <v>25.476797643395219</v>
      </c>
      <c r="D5" s="9">
        <f>AVERAGEIF(Financial_Analysis!$A$2:$A$51,A5,Financial_Analysis!$E$2:$E$51)</f>
        <v>27.927721970527937</v>
      </c>
      <c r="E5" s="9">
        <f>AVERAGEIF(Financial_Analysis!$A$2:$A$51,A5,Financial_Analysis!$F$2:$F$51)</f>
        <v>82.781384457322901</v>
      </c>
    </row>
    <row r="6" spans="1:5">
      <c r="A6" s="8" t="s">
        <v>92</v>
      </c>
      <c r="B6" s="9">
        <f>AVERAGEIF(Financial_Analysis!$A$2:$A$51,A6,Financial_Analysis!$C$2:$C$51)</f>
        <v>3.4343938677709978</v>
      </c>
      <c r="C6" s="9">
        <f>AVERAGEIF(Financial_Analysis!$A$2:$A$51,A6,Financial_Analysis!$D$2:$D$51)</f>
        <v>20.689720953414579</v>
      </c>
      <c r="D6" s="9">
        <f>AVERAGEIF(Financial_Analysis!$A$2:$A$51,A6,Financial_Analysis!$E$2:$E$51)</f>
        <v>10.486320558046614</v>
      </c>
      <c r="E6" s="9">
        <f>AVERAGEIF(Financial_Analysis!$A$2:$A$51,A6,Financial_Analysis!$F$2:$F$51)</f>
        <v>59.393265838825798</v>
      </c>
    </row>
    <row r="7" spans="1:5">
      <c r="A7" s="8" t="s">
        <v>112</v>
      </c>
      <c r="B7" s="9">
        <f>AVERAGEIF(Financial_Analysis!$A$2:$A$51,A7,Financial_Analysis!$C$2:$C$51)</f>
        <v>4.2015230977687494</v>
      </c>
      <c r="C7" s="9">
        <f>AVERAGEIF(Financial_Analysis!$A$2:$A$51,A7,Financial_Analysis!$D$2:$D$51)</f>
        <v>10.026445969752697</v>
      </c>
      <c r="D7" s="9">
        <f>AVERAGEIF(Financial_Analysis!$A$2:$A$51,A7,Financial_Analysis!$E$2:$E$51)</f>
        <v>4.5102545034472818</v>
      </c>
      <c r="E7" s="9">
        <f>AVERAGEIF(Financial_Analysis!$A$2:$A$51,A7,Financial_Analysis!$F$2:$F$51)</f>
        <v>82.01132373833336</v>
      </c>
    </row>
    <row r="8" spans="1:5">
      <c r="A8" s="8" t="s">
        <v>132</v>
      </c>
      <c r="B8" s="9">
        <f>AVERAGEIF(Financial_Analysis!$A$2:$A$51,A8,Financial_Analysis!$C$2:$C$51)</f>
        <v>14.669075531952576</v>
      </c>
      <c r="C8" s="9">
        <f>AVERAGEIF(Financial_Analysis!$A$2:$A$51,A8,Financial_Analysis!$D$2:$D$51)</f>
        <v>30.050968593505683</v>
      </c>
      <c r="D8" s="9">
        <f>AVERAGEIF(Financial_Analysis!$A$2:$A$51,A8,Financial_Analysis!$E$2:$E$51)</f>
        <v>18.468926420648678</v>
      </c>
      <c r="E8" s="9">
        <f>AVERAGEIF(Financial_Analysis!$A$2:$A$51,A8,Financial_Analysis!$F$2:$F$51)</f>
        <v>32.97244138143752</v>
      </c>
    </row>
    <row r="9" spans="1:5">
      <c r="A9" s="8" t="s">
        <v>152</v>
      </c>
      <c r="B9" s="9">
        <f>AVERAGEIF(Financial_Analysis!$A$2:$A$51,A9,Financial_Analysis!$C$2:$C$51)</f>
        <v>13.860054607701105</v>
      </c>
      <c r="C9" s="9">
        <f>AVERAGEIF(Financial_Analysis!$A$2:$A$51,A9,Financial_Analysis!$D$2:$D$51)</f>
        <v>35.877260489974475</v>
      </c>
      <c r="D9" s="9">
        <f>AVERAGEIF(Financial_Analysis!$A$2:$A$51,A9,Financial_Analysis!$E$2:$E$51)</f>
        <v>17.903528540250583</v>
      </c>
      <c r="E9" s="9">
        <f>AVERAGEIF(Financial_Analysis!$A$2:$A$51,A9,Financial_Analysis!$F$2:$F$51)</f>
        <v>50.769236722851304</v>
      </c>
    </row>
    <row r="10" spans="1:5">
      <c r="A10" s="8" t="s">
        <v>173</v>
      </c>
      <c r="B10" s="9">
        <f>AVERAGEIF(Financial_Analysis!$A$2:$A$51,A10,Financial_Analysis!$C$2:$C$51)</f>
        <v>75.421041217715043</v>
      </c>
      <c r="C10" s="9">
        <f>AVERAGEIF(Financial_Analysis!$A$2:$A$51,A10,Financial_Analysis!$D$2:$D$51)</f>
        <v>36.620737538141583</v>
      </c>
      <c r="D10" s="9">
        <f>AVERAGEIF(Financial_Analysis!$A$2:$A$51,A10,Financial_Analysis!$E$2:$E$51)</f>
        <v>31.660873105984439</v>
      </c>
      <c r="E10" s="9">
        <f>AVERAGEIF(Financial_Analysis!$A$2:$A$51,A10,Financial_Analysis!$F$2:$F$51)</f>
        <v>38.192868581727865</v>
      </c>
    </row>
    <row r="11" spans="1:5">
      <c r="A11" s="8" t="s">
        <v>194</v>
      </c>
      <c r="B11" s="9">
        <f>AVERAGEIF(Financial_Analysis!$A$2:$A$51,A11,Financial_Analysis!$C$2:$C$51)</f>
        <v>9.2371929162581736</v>
      </c>
      <c r="C11" s="9">
        <f>AVERAGEIF(Financial_Analysis!$A$2:$A$51,A11,Financial_Analysis!$D$2:$D$51)</f>
        <v>21.64974725973164</v>
      </c>
      <c r="D11" s="9">
        <f>AVERAGEIF(Financial_Analysis!$A$2:$A$51,A11,Financial_Analysis!$E$2:$E$51)</f>
        <v>7.5545861164239394</v>
      </c>
      <c r="E11" s="9">
        <f>AVERAGEIF(Financial_Analysis!$A$2:$A$51,A11,Financial_Analysis!$F$2:$F$51)</f>
        <v>96.515206879733427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C258F-47F1-4C7D-BAAE-5B75D49CA38F}">
  <dimension ref="A1:J40"/>
  <sheetViews>
    <sheetView tabSelected="1" zoomScale="104" zoomScaleNormal="104" workbookViewId="0">
      <selection activeCell="F41" sqref="F41"/>
    </sheetView>
  </sheetViews>
  <sheetFormatPr defaultRowHeight="14.5"/>
  <cols>
    <col min="1" max="7" width="17.81640625" customWidth="1"/>
  </cols>
  <sheetData>
    <row r="1" spans="1:10" ht="23.5">
      <c r="A1" s="12" t="s">
        <v>224</v>
      </c>
      <c r="B1" s="12"/>
      <c r="C1" s="12"/>
      <c r="D1" s="12"/>
      <c r="E1" s="12"/>
      <c r="F1" s="12"/>
      <c r="G1" s="12"/>
    </row>
    <row r="2" spans="1:10" ht="15.5">
      <c r="A2" s="13" t="s">
        <v>225</v>
      </c>
      <c r="B2" s="13"/>
      <c r="C2" s="13"/>
      <c r="D2" s="13"/>
      <c r="E2" s="13"/>
      <c r="F2" s="13"/>
      <c r="G2" s="13"/>
    </row>
    <row r="4" spans="1:10" ht="29">
      <c r="A4" s="11" t="s">
        <v>226</v>
      </c>
      <c r="C4" s="11" t="s">
        <v>227</v>
      </c>
      <c r="E4" s="11" t="s">
        <v>228</v>
      </c>
      <c r="G4" s="11" t="s">
        <v>229</v>
      </c>
    </row>
    <row r="5" spans="1:10" ht="21">
      <c r="A5" s="14">
        <f>AVERAGE(Analysis!B2:B11)</f>
        <v>15.796390003494498</v>
      </c>
      <c r="B5" s="15"/>
      <c r="C5" s="14">
        <f>AVERAGE(Analysis!C2:C11)</f>
        <v>24.229190117471795</v>
      </c>
      <c r="D5" s="15"/>
      <c r="E5" s="14">
        <f>AVERAGE(Analysis!D2:D11)</f>
        <v>16.420154696824046</v>
      </c>
      <c r="F5" s="15"/>
      <c r="G5" s="14">
        <f>AVERAGE(Analysis!E2:E11)</f>
        <v>58.287156486475922</v>
      </c>
    </row>
    <row r="12" spans="1:10">
      <c r="I12" s="10"/>
      <c r="J12" s="10"/>
    </row>
    <row r="13" spans="1:10">
      <c r="I13" s="11"/>
      <c r="J13" s="11"/>
    </row>
    <row r="14" spans="1:10">
      <c r="I14" s="11"/>
      <c r="J14" s="11"/>
    </row>
    <row r="15" spans="1:10">
      <c r="I15" s="11"/>
      <c r="J15" s="11"/>
    </row>
    <row r="16" spans="1:10">
      <c r="I16" s="11"/>
      <c r="J16" s="11"/>
    </row>
    <row r="39" spans="1:5">
      <c r="A39" s="16" t="s">
        <v>230</v>
      </c>
      <c r="B39" s="16"/>
      <c r="C39" s="16"/>
      <c r="D39" s="16"/>
      <c r="E39" s="16"/>
    </row>
    <row r="40" spans="1:5">
      <c r="A40" s="16" t="s">
        <v>231</v>
      </c>
      <c r="B40" s="16"/>
      <c r="C40" s="16"/>
      <c r="D40" s="16"/>
      <c r="E40" s="16"/>
    </row>
  </sheetData>
  <mergeCells count="4">
    <mergeCell ref="A1:G1"/>
    <mergeCell ref="A2:G2"/>
    <mergeCell ref="A39:E39"/>
    <mergeCell ref="A40:E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Financial_Analysis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Patel Tirumani</dc:creator>
  <cp:lastModifiedBy>Vanshika Patel Tirumani</cp:lastModifiedBy>
  <dcterms:created xsi:type="dcterms:W3CDTF">2026-09-24T16:02:44Z</dcterms:created>
  <dcterms:modified xsi:type="dcterms:W3CDTF">2026-09-25T07:37:49Z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F7DCD04F49EB4EF29E130F2B715B126B_13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